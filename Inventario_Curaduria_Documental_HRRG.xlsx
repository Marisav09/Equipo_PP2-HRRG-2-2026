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litecnico\Asistente IA HRRG\data\inventory\"/>
    </mc:Choice>
  </mc:AlternateContent>
  <bookViews>
    <workbookView xWindow="0" yWindow="0" windowWidth="8712" windowHeight="84" activeTab="1"/>
  </bookViews>
  <sheets>
    <sheet name="Resumen" sheetId="1" r:id="rId1"/>
    <sheet name="Inventario" sheetId="2" r:id="rId2"/>
  </sheets>
  <calcPr calcId="162913"/>
</workbook>
</file>

<file path=xl/calcChain.xml><?xml version="1.0" encoding="utf-8"?>
<calcChain xmlns="http://schemas.openxmlformats.org/spreadsheetml/2006/main">
  <c r="B16" i="1" l="1"/>
  <c r="B15" i="1"/>
  <c r="B14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<sst xmlns="http://schemas.openxmlformats.org/spreadsheetml/2006/main" count="1937" uniqueCount="519">
  <si>
    <t>Inventario y Curaduría Documental - HRRG</t>
  </si>
  <si>
    <t>Manifiesto inicial de la documentación recibida | Generado: 27 may 2026, 10:40 p. m.</t>
  </si>
  <si>
    <t>Indicador</t>
  </si>
  <si>
    <t>Cantidad</t>
  </si>
  <si>
    <t>Criterio de uso seguro</t>
  </si>
  <si>
    <t>Archivos recibidos</t>
  </si>
  <si>
    <t>Esta planilla es un inventario inicial para revisión humana. Ningún documento queda aprobado ni debe indexarse en el RAG hasta validar equipo/modelo, vigencia, calidad OCR y alcance por rol. Las alertas automáticas ayudan a priorizar la curaduría, pero no reemplazan el criterio técnico.</t>
  </si>
  <si>
    <t>Requieren revisión OCR</t>
  </si>
  <si>
    <t>Conflictos carpeta / equipo</t>
  </si>
  <si>
    <t>Duplicados exactos</t>
  </si>
  <si>
    <t>Pendientes de decisión</t>
  </si>
  <si>
    <t>Estado curaduría</t>
  </si>
  <si>
    <t>Pendiente</t>
  </si>
  <si>
    <t>Aprobado</t>
  </si>
  <si>
    <t>Rechazado</t>
  </si>
  <si>
    <t>Leyenda</t>
  </si>
  <si>
    <t>Significado</t>
  </si>
  <si>
    <t>Requiere revisión del equipo de Ingeniería Clínica</t>
  </si>
  <si>
    <t>Puede avanzar al corpus según rol y versión validada</t>
  </si>
  <si>
    <t>No utilizar como fuente del asistente</t>
  </si>
  <si>
    <t>Revisar OCR</t>
  </si>
  <si>
    <t>Controlar texto, unidades, alarmas y valores numéricos</t>
  </si>
  <si>
    <t>Ruta original</t>
  </si>
  <si>
    <t>Nombre archivo</t>
  </si>
  <si>
    <t>Extensión</t>
  </si>
  <si>
    <t>Tamaño (MB)</t>
  </si>
  <si>
    <t>Hash SHA-256</t>
  </si>
  <si>
    <t>Cantidad páginas</t>
  </si>
  <si>
    <t>Tiene texto extraíble</t>
  </si>
  <si>
    <t>Requiere OCR</t>
  </si>
  <si>
    <t>Tiene imagenes</t>
  </si>
  <si>
    <t>Idioma detectado</t>
  </si>
  <si>
    <t>Fabricante inferido</t>
  </si>
  <si>
    <t>Modelo inferido</t>
  </si>
  <si>
    <t>Motivo</t>
  </si>
  <si>
    <t>Tipo documental sugerido</t>
  </si>
  <si>
    <t>Alerta automática</t>
  </si>
  <si>
    <t>Fabricante validado</t>
  </si>
  <si>
    <t>Modelo validado</t>
  </si>
  <si>
    <t>Rol habilitado</t>
  </si>
  <si>
    <t>Versión / revisión</t>
  </si>
  <si>
    <t>Observaciones</t>
  </si>
  <si>
    <t>Manuales-20260528T010304Z-3-001/Manuales/Agitador Presvac AE500/Manual Técnico y de Mantenimiento Agitador Presvac AE-500 A.pdf</t>
  </si>
  <si>
    <t>Manual Técnico y de Mantenimiento Agitador Presvac AE-500 A.pdf</t>
  </si>
  <si>
    <t>.pdf</t>
  </si>
  <si>
    <t>e3c1b76cef8f101815f870eb8b3be9b48ff224ab74186183ac42a894f7d8388c</t>
  </si>
  <si>
    <t>Sí</t>
  </si>
  <si>
    <t>No</t>
  </si>
  <si>
    <t>Español</t>
  </si>
  <si>
    <t>Presvac</t>
  </si>
  <si>
    <t>Agitador Presvac AE-500</t>
  </si>
  <si>
    <t>Archivo identificado; requiere aprobacion humana antes de indexar.</t>
  </si>
  <si>
    <t>Manual técnico</t>
  </si>
  <si>
    <t>Sin alerta automática</t>
  </si>
  <si>
    <t>Manuales-20260528T010304Z-3-001/Manuales/Bilirrubinometro/Checklist Bilirrubinómetro Dräger JM-105.pdf</t>
  </si>
  <si>
    <t>Checklist Bilirrubinómetro Dräger JM-105.pdf</t>
  </si>
  <si>
    <t>b396b12d139839e1e23520539c69192bf176a0868b9c594b951cdb51f19ee954</t>
  </si>
  <si>
    <t>Inglés</t>
  </si>
  <si>
    <t>Drager</t>
  </si>
  <si>
    <t>Bilirrubinometro Drager JM-105</t>
  </si>
  <si>
    <t>Sin clasificar</t>
  </si>
  <si>
    <t>Manuales-20260528T010304Z-3-001/Manuales/Bilirrubinometro/Manual de Usuario Bilirrubinómetro Dräger JM-105.pdf</t>
  </si>
  <si>
    <t>Manual de Usuario Bilirrubinómetro Dräger JM-105.pdf</t>
  </si>
  <si>
    <t>c2ded69a27b5d9489f13708aa6ce590100bb10af8289698897f0eefb14c0c254</t>
  </si>
  <si>
    <t>Manual de usuario</t>
  </si>
  <si>
    <t>Manuales-20260528T010304Z-3-001/Manuales/Bilirrubinometro/Manual Técnico Bilirrubinómetro Dräger JM-105 (Español).pdf</t>
  </si>
  <si>
    <t>Manual Técnico Bilirrubinómetro Dräger JM-105 (Español).pdf</t>
  </si>
  <si>
    <t>4dc98fd45b938aabc0bbef956e91527b36cf60276dfe308833a0553cb91a02d0</t>
  </si>
  <si>
    <t>Manuales-20260528T010304Z-3-001/Manuales/Bilirrubinometro/Material Educativo Bilirrubinómetro Dräger JM-105 (Inglés).pdf</t>
  </si>
  <si>
    <t>Material Educativo Bilirrubinómetro Dräger JM-105 (Inglés).pdf</t>
  </si>
  <si>
    <t>4aee4e005650701cc5b2583e7ac3d793b8c56b3e2144d0a68f1b48c6e1f8d4b3</t>
  </si>
  <si>
    <t>Manuales-20260528T010304Z-3-001/Manuales/Cabina de bioseguridad/Manual de Servicio Cabina Microbiológica EuroClone Safemate EZ (Ing).pdf</t>
  </si>
  <si>
    <t>Manual de Servicio Cabina Microbiológica EuroClone Safemate EZ (Ing).pdf</t>
  </si>
  <si>
    <t>e644fdc3e9e33daf4562adabaf6555269626bff44c64301d7d13721b130588b1</t>
  </si>
  <si>
    <t>Euroclone</t>
  </si>
  <si>
    <t>Cabina Microbiologica Euroclone SafeMate EZ</t>
  </si>
  <si>
    <t>Manual de servicio</t>
  </si>
  <si>
    <t>Manuales-20260528T010304Z-3-001/Manuales/Camas electrónicas/Manual de Usuario y Técnico Cama Linet Eleganza 1.pdf</t>
  </si>
  <si>
    <t>Manual de Usuario y Técnico Cama Linet Eleganza 1.pdf</t>
  </si>
  <si>
    <t>b56d7658ece1fab2f476408e62ac269954602074358a6e1282c7cb2bd470e3b4</t>
  </si>
  <si>
    <t>Linet</t>
  </si>
  <si>
    <t>Cama Electronica Linet Eleganza 1</t>
  </si>
  <si>
    <t>Manuales-20260528T010304Z-3-001/Manuales/Camas electrónicas/Manual Técnico Cama Pardo HiTech ACT.pdf</t>
  </si>
  <si>
    <t>Manual Técnico Cama Pardo HiTech ACT.pdf</t>
  </si>
  <si>
    <t>c07a02cfea2ea36d96e74080dc14eaffc24f69702ab4426cf1f25e961c95391b</t>
  </si>
  <si>
    <t>Pardo</t>
  </si>
  <si>
    <t>Cama Electronica Pardo Hitech ACT</t>
  </si>
  <si>
    <t>Manuales-20260528T010304Z-3-001/Manuales/Camas electrónicas/Manual Técnico Cama Pardo Komplet.pdf</t>
  </si>
  <si>
    <t>Manual Técnico Cama Pardo Komplet.pdf</t>
  </si>
  <si>
    <t>571ac4aed91fc93d99f176ea34a208be6f81d4de9f610d070a789dad02cae7bc</t>
  </si>
  <si>
    <t>Cama Electronica Pardo Komplet</t>
  </si>
  <si>
    <t>Manuales-20260528T010304Z-3-001/Manuales/Camilla de Hemodinamia Stille Q2/Manual de Usuario Incubadora Medix TR200.pdf</t>
  </si>
  <si>
    <t>Manual de Usuario Incubadora Medix TR200.pdf</t>
  </si>
  <si>
    <t>51217d4167cf7900cec3b9b1a2efcccd02af773d17ade654f681b0a77b5fbabd</t>
  </si>
  <si>
    <t>Parcial</t>
  </si>
  <si>
    <t>Revisar</t>
  </si>
  <si>
    <t>Medix</t>
  </si>
  <si>
    <t>Incubadora Medix TR200</t>
  </si>
  <si>
    <t>Contiene paginas visuales sin texto suficiente; revisar OCR selectivo.</t>
  </si>
  <si>
    <t>Requiere revision OCR</t>
  </si>
  <si>
    <t>Manuales-20260528T010304Z-3-001/Manuales/Camilla de Hemodinamia Stille Q2/Manual Técnico Incubadora Medix Natal Care (ST · MX · LX).pdf</t>
  </si>
  <si>
    <t>Manual Técnico Incubadora Medix Natal Care (ST · MX · LX).pdf</t>
  </si>
  <si>
    <t>bd170bea759153e148d753cd9900bf877e5796bab36c8f98dd078f78a51140a2</t>
  </si>
  <si>
    <t>Natal Care ST/MX/LX</t>
  </si>
  <si>
    <t>Manuales-20260528T010304Z-3-001/Manuales/Camilla de Hemodinamia Stille Q2/Manual Técnico Incubadora Medix Natal Care LX.pdf</t>
  </si>
  <si>
    <t>Manual Técnico Incubadora Medix Natal Care LX.pdf</t>
  </si>
  <si>
    <t>Duplicado exacto de Manuales-20260528T010304Z-3-001/Manuales/Camilla de Hemodinamia Stille Q2/Manual Técnico Incubadora Medix Natal Care (ST · MX · LX).pdf.</t>
  </si>
  <si>
    <t>Duplicado exacto</t>
  </si>
  <si>
    <t>Manuales-20260528T010304Z-3-001/Manuales/Camilla de Hemodinamia Stille Q2/Manual Técnico Incubadora Medix TR306.pdf</t>
  </si>
  <si>
    <t>Manual Técnico Incubadora Medix TR306.pdf</t>
  </si>
  <si>
    <t>7725ff70f68ce4d4279b8906875f6a83d3799f76db7f73b22c2ed9a5be0a5954</t>
  </si>
  <si>
    <t>Incubadora Medix TR306</t>
  </si>
  <si>
    <t>Manuales-20260528T010304Z-3-001/Manuales/Camilla de Hemodinamia Stille Q2/Manual Usuario y Técnico Incubadora Medix TR 200.pdf</t>
  </si>
  <si>
    <t>Manual Usuario y Técnico Incubadora Medix TR 200.pdf</t>
  </si>
  <si>
    <t>Duplicado exacto de Manuales-20260528T010304Z-3-001/Manuales/Camilla de Hemodinamia Stille Q2/Manual de Usuario Incubadora Medix TR200.pdf.</t>
  </si>
  <si>
    <t>Manuales-20260528T010304Z-3-001/Manuales/Desfibrrilador mindray beneheart D3/Manual de Servicio Desfibrilador - Monitor Beneheart D3 · D2 (Inglés).pdf</t>
  </si>
  <si>
    <t>Manual de Servicio Desfibrilador - Monitor Beneheart D3 · D2 (Inglés).pdf</t>
  </si>
  <si>
    <t>daa1dc1582fdcbab8208f769f4efb9b18039c1e708e2ec85b29f8768202484f0</t>
  </si>
  <si>
    <t>Mindray</t>
  </si>
  <si>
    <t>Desfibrilador Monitor Mindray BeneHeart D3/D2</t>
  </si>
  <si>
    <t>Manuales-20260528T010304Z-3-001/Manuales/Dinan/500/MTM.AF-500_Manual Técnico y Mantenimiento_v5.0_2020-02-27.pdf</t>
  </si>
  <si>
    <t>MTM.AF-500_Manual Técnico y Mantenimiento_v5.0_2020-02-27.pdf</t>
  </si>
  <si>
    <t>88cbb9f24659a4e1cfaf4d553bbbb0a46d089d4cdd1f542f9244f3e5bb3fdb6f</t>
  </si>
  <si>
    <t>Dinan</t>
  </si>
  <si>
    <t>No se identifico con certeza equipo y modelo.</t>
  </si>
  <si>
    <t>Manuales-20260528T010304Z-3-001/Manuales/Dinan/500/MU.AF-500 DR VERSION V05 Manual de Usuario_v1.0_2024-09-09.pdf</t>
  </si>
  <si>
    <t>MU.AF-500 DR VERSION V05 Manual de Usuario_v1.0_2024-09-09.pdf</t>
  </si>
  <si>
    <t>265ca279384a01838e9e794ef6a8ad34ff5a3d46ed9b4107213866aaffa2578e</t>
  </si>
  <si>
    <t>Equipo de Rayos X Dinan AF500</t>
  </si>
  <si>
    <t>Manuales-20260528T010304Z-3-001/Manuales/Dinan/500/MU.DR Console AF-500. Manual de Usuario_v1.0_2024-09-09.pdf</t>
  </si>
  <si>
    <t>MU.DR Console AF-500. Manual de Usuario_v1.0_2024-09-09.pdf</t>
  </si>
  <si>
    <t>8fc8aee69781be894ebc1eceda871c0213909a484b274816c01d9b3e9c43052b</t>
  </si>
  <si>
    <t>Manuales-20260528T010304Z-3-001/Manuales/Dinan/500/MU.SM500.Manual de Usuario_v1.0_2024-09-09.pdf</t>
  </si>
  <si>
    <t>MU.SM500.Manual de Usuario_v1.0_2024-09-09.pdf</t>
  </si>
  <si>
    <t>ff0e2f676e6250622cdd957c8fa15cc8fc39a380acfd1aaa287beec3661c3c77</t>
  </si>
  <si>
    <t>Manuales-20260528T010304Z-3-001/Manuales/draguer respirador/Draeger- VN500/1_3_Training_GS500_EN_01_2017.pdf</t>
  </si>
  <si>
    <t>1_3_Training_GS500_EN_01_2017.pdf</t>
  </si>
  <si>
    <t>bd2a3a95fd204c4d1a595ab5dbc8827176196be83671de37cc22512c02ea1a6b</t>
  </si>
  <si>
    <t>Draeger</t>
  </si>
  <si>
    <t>Respirador Draeger - VN500</t>
  </si>
  <si>
    <t>Manuales-20260528T010304Z-3-001/Manuales/draguer respirador/Draeger- VN500/2_1_Training_PS500_withM7_3plus_EN_06_2017.pdf</t>
  </si>
  <si>
    <t>2_1_Training_PS500_withM7_3plus_EN_06_2017.pdf</t>
  </si>
  <si>
    <t>fb0b59da46f5af4512dbc1b87fd1f6a67685dd169f81b03eea7aa7d58da59208</t>
  </si>
  <si>
    <t>Manuales-20260528T010304Z-3-001/Manuales/draguer respirador/Draeger- VN500/3_9054521_01_Erg__GA_V-VN_PS500-Batt__en.pdf</t>
  </si>
  <si>
    <t>3_9054521_01_Erg__GA_V-VN_PS500-Batt__en.pdf</t>
  </si>
  <si>
    <t>c79bd0b005fe86684e0e1c467e8d0bd4fdbd532e2785ea994c3ea8844a08b275</t>
  </si>
  <si>
    <t>Manuales-20260528T010304Z-3-001/Manuales/draguer respirador/Draeger- VN500/9066667_BabyFlow_ES_finit.pdf</t>
  </si>
  <si>
    <t>9066667_BabyFlow_ES_finit.pdf</t>
  </si>
  <si>
    <t>3f5e7a29f17856798096a79e9ac120c51c43ed4406934dd72773ad8a4b9d7727</t>
  </si>
  <si>
    <t>Manuales-20260528T010304Z-3-001/Manuales/draguer respirador/Draeger- VN500/abreviaturas y simbolos Evita V300 - VN500.pdf</t>
  </si>
  <si>
    <t>abreviaturas y simbolos Evita V300 - VN500.pdf</t>
  </si>
  <si>
    <t>bbe8c567e9c3a2c766d41d0ec29ce6ea224d5af7f3acf9eefa214626c9182e44</t>
  </si>
  <si>
    <t>Indeterminado</t>
  </si>
  <si>
    <t>Manuales-20260528T010304Z-3-001/Manuales/draguer respirador/Draeger- VN500/Aplication Training/02 cc_other_intern_VN500 differences_en.ppt</t>
  </si>
  <si>
    <t>02 cc_other_intern_VN500 differences_en.ppt</t>
  </si>
  <si>
    <t>.ppt</t>
  </si>
  <si>
    <t>ed6eb20688083a63259e0d97880b3b3bad3f56488feeb84657a2c26853234426</t>
  </si>
  <si>
    <t>Manuales-20260528T010304Z-3-001/Manuales/draguer respirador/Draeger- VN500/Aplication Training/03 cc_other_intern_mounting V500_VN500_en.ppt</t>
  </si>
  <si>
    <t>03 cc_other_intern_mounting V500_VN500_en.ppt</t>
  </si>
  <si>
    <t>f2ffc9753049ac99e61aa62febf873bf48472c707e1829aa6f8a9c6d303f3c8b</t>
  </si>
  <si>
    <t>Manuales-20260528T010304Z-3-001/Manuales/draguer respirador/Draeger- VN500/Aplication Training/04 cc_other_intern_VN500 HFO_en.ppt</t>
  </si>
  <si>
    <t>04 cc_other_intern_VN500 HFO_en.ppt</t>
  </si>
  <si>
    <t>77a59d6750994f30e99167c44f71dbcc283fd0db3f41d3283ab042f25ddf4bb4</t>
  </si>
  <si>
    <t>Manuales-20260528T010304Z-3-001/Manuales/draguer respirador/Draeger- VN500/Aplication Training/05 cc_other_intern_VN500 introduction_en.ppt</t>
  </si>
  <si>
    <t>05 cc_other_intern_VN500 introduction_en.ppt</t>
  </si>
  <si>
    <t>238518a3001234d971a635b2cf99c33c9bb3ded5be19a6b53d9e44dd36855223</t>
  </si>
  <si>
    <t>Manuales-20260528T010304Z-3-001/Manuales/draguer respirador/Draeger- VN500/Aplication Training/06 cc_other_intern_VN500 new modes_en.ppt</t>
  </si>
  <si>
    <t>06 cc_other_intern_VN500 new modes_en.ppt</t>
  </si>
  <si>
    <t>b479ffbba68b02c5110484190bc3363854cd5d32b12c255624d3f84cad37d7e1</t>
  </si>
  <si>
    <t>Manuales-20260528T010304Z-3-001/Manuales/draguer respirador/Draeger- VN500/Aplication Training/07 cc_other_intern_VN500 SPV_en.ppt</t>
  </si>
  <si>
    <t>07 cc_other_intern_VN500 SPV_en.ppt</t>
  </si>
  <si>
    <t>2e9681b282d5a1c5bf51daf3e3c6abcdc49842327b4863df30421efe97382c33</t>
  </si>
  <si>
    <t>Manuales-20260528T010304Z-3-001/Manuales/draguer respirador/Draeger- VN500/Aplication Training/cc_other_new_openbreathing_en.ppt</t>
  </si>
  <si>
    <t>cc_other_new_openbreathing_en.ppt</t>
  </si>
  <si>
    <t>eff20041e5f95eb8f9974fe25b490718dd2de9a4378adba1a9114a9c8c0d67d7</t>
  </si>
  <si>
    <t>Manuales-20260528T010304Z-3-001/Manuales/draguer respirador/Draeger- VN500/Aplication Training/cc_other_news_aprv_en.ppt</t>
  </si>
  <si>
    <t>cc_other_news_aprv_en.ppt</t>
  </si>
  <si>
    <t>a3108c30a3aa972ed0c16b3910dd27e1959eb8bd5a0b6cbec1aebe8011b1bd55</t>
  </si>
  <si>
    <t>Manuales-20260528T010304Z-3-001/Manuales/draguer respirador/Draeger- VN500/Aplication Training/cc_other_news_aprv_recruit_en .ppt</t>
  </si>
  <si>
    <t>cc_other_news_aprv_recruit_en .ppt</t>
  </si>
  <si>
    <t>5d5a458aea9a06a5a0ca5b3177c6866c10a4d7f153ce095d5d70e9c8a911a424</t>
  </si>
  <si>
    <t>Manuales-20260528T010304Z-3-001/Manuales/draguer respirador/Draeger- VN500/Aplication Training/cc_other_news_ardsnet_en.ppt</t>
  </si>
  <si>
    <t>cc_other_news_ardsnet_en.ppt</t>
  </si>
  <si>
    <t>130776fd967d2b1f4a75f71dff68a6c363ee65a673f26180163b53688917e4a8</t>
  </si>
  <si>
    <t>Manuales-20260528T010304Z-3-001/Manuales/draguer respirador/Draeger- VN500/Aplication Training/cc_other_news_atc_en.ppt</t>
  </si>
  <si>
    <t>cc_other_news_atc_en.ppt</t>
  </si>
  <si>
    <t>6a5011260fc8ce251ae39a0e4ec069d3e22020065245ae8cceabb8c6abd03d3d</t>
  </si>
  <si>
    <t>Manuales-20260528T010304Z-3-001/Manuales/draguer respirador/Draeger- VN500/Aplication Training/cc_other_news_autoflow_en.ppt</t>
  </si>
  <si>
    <t>cc_other_news_autoflow_en.ppt</t>
  </si>
  <si>
    <t>a19b4bb7c0c5ced4c2f0f1c47e85a590dc84c94319af4a7505a94528afda8b5c</t>
  </si>
  <si>
    <t>Manuales-20260528T010304Z-3-001/Manuales/draguer respirador/Draeger- VN500/Aplication Training/cc_other_news_humidity_en.ppt</t>
  </si>
  <si>
    <t>cc_other_news_humidity_en.ppt</t>
  </si>
  <si>
    <t>0e72277a624d56682171e36a6ec4e36d22fc9faca4eab53d052f3747c3873d65</t>
  </si>
  <si>
    <t>Manuales-20260528T010304Z-3-001/Manuales/draguer respirador/Draeger- VN500/Aplication Training/cc_other_news_maneuvers_en.ppt</t>
  </si>
  <si>
    <t>cc_other_news_maneuvers_en.ppt</t>
  </si>
  <si>
    <t>e661fda0275e7828a0638d26f8dd0c58198c0b18590edb134fd5663e19a4ec06</t>
  </si>
  <si>
    <t>Manuales-20260528T010304Z-3-001/Manuales/draguer respirador/Draeger- VN500/Aplication Training/cc_other_news_mmv_en.ppt</t>
  </si>
  <si>
    <t>cc_other_news_mmv_en.ppt</t>
  </si>
  <si>
    <t>ced339baa3afa2b719b072217884cfa5b34240f28b0a36aae742f3d08467dbf3</t>
  </si>
  <si>
    <t>Manuales-20260528T010304Z-3-001/Manuales/draguer respirador/Draeger- VN500/Aplication Training/cc_other_news_monitoring_en.ppt</t>
  </si>
  <si>
    <t>cc_other_news_monitoring_en.ppt</t>
  </si>
  <si>
    <t>c47c06e4f1da6bca86b48e5c1b8087a73e1506cae9f2291c9bfbedea123d8d97</t>
  </si>
  <si>
    <t>Manuales-20260528T010304Z-3-001/Manuales/draguer respirador/Draeger- VN500/Aplication Training/cc_other_news_niv_en.ppt</t>
  </si>
  <si>
    <t>cc_other_news_niv_en.ppt</t>
  </si>
  <si>
    <t>63770da31e367b6cd42cba8df31e3e47fd88466e54557aa41d003e8251ee1b82</t>
  </si>
  <si>
    <t>Manuales-20260528T010304Z-3-001/Manuales/draguer respirador/Draeger- VN500/Aplication Training/cc_other_news_pressure_volume_en.ppt</t>
  </si>
  <si>
    <t>cc_other_news_pressure_volume_en.ppt</t>
  </si>
  <si>
    <t>2d1d67f96df05814f37aebea7e2f97fbfc192f71ec4c86afe26af707feb8f681</t>
  </si>
  <si>
    <t>Manuales-20260528T010304Z-3-001/Manuales/draguer respirador/Draeger- VN500/Aplication Training/cc_other_news_simv_en.ppt</t>
  </si>
  <si>
    <t>cc_other_news_simv_en.ppt</t>
  </si>
  <si>
    <t>d2b4953cda620c3d45fae0ab546581f348302544e7328f962f9a8ea0dba71af4</t>
  </si>
  <si>
    <t>Manuales-20260528T010304Z-3-001/Manuales/draguer respirador/Draeger- VN500/Aplication Training/cc_other_news_vent reduction_en.ppt</t>
  </si>
  <si>
    <t>cc_other_news_vent reduction_en.ppt</t>
  </si>
  <si>
    <t>f45715182b42bfc564c42636e150824f3e5e7cf202b3c3ccced425f0dae2088c</t>
  </si>
  <si>
    <t>Manuales-20260528T010304Z-3-001/Manuales/draguer respirador/Draeger- VN500/Aplication Training/cc_others_news_weaning_en.ppt</t>
  </si>
  <si>
    <t>cc_others_news_weaning_en.ppt</t>
  </si>
  <si>
    <t>2e4c8818d414683930430d6c5a79d6cd3854a39796d461090c296fbbaebff008</t>
  </si>
  <si>
    <t>Manuales-20260528T010304Z-3-001/Manuales/draguer respirador/Draeger- VN500/Aplication Training/Thumbs.db</t>
  </si>
  <si>
    <t>Thumbs.db</t>
  </si>
  <si>
    <t>.db</t>
  </si>
  <si>
    <t>ec43635cb7d063cfe1c16dcc7dd1dced94191a51e77ca0376bf46fcdfaac9a42</t>
  </si>
  <si>
    <t>Manuales-20260528T010304Z-3-001/Manuales/draguer respirador/Draeger- VN500/Brochure/cc_other_br_9066227_es.pdf</t>
  </si>
  <si>
    <t>cc_other_br_9066227_es.pdf</t>
  </si>
  <si>
    <t>49fb895232753375081a08c186b32a531890e5eb237afc20515e0dba8d9e9696</t>
  </si>
  <si>
    <t>Folletería digital</t>
  </si>
  <si>
    <t>Manuales-20260528T010304Z-3-001/Manuales/draguer respirador/Draeger- VN500/Brochure/cc_other_br_9066343_es.pdf</t>
  </si>
  <si>
    <t>cc_other_br_9066343_es.pdf</t>
  </si>
  <si>
    <t>c7e93e1d5a26f02decb821d159b50b6cfb3da9261491e32b128e9d55447678d4</t>
  </si>
  <si>
    <t>Manuales-20260528T010304Z-3-001/Manuales/draguer respirador/Draeger- VN500/Brochure/cc_other_br_9066364_en.pdf</t>
  </si>
  <si>
    <t>cc_other_br_9066364_en.pdf</t>
  </si>
  <si>
    <t>d92f1440c1660e113d642289e6fab1363e1bbe86328971dda263e029fd9bf2c7</t>
  </si>
  <si>
    <t>Manuales-20260528T010304Z-3-001/Manuales/draguer respirador/Draeger- VN500/Brochure/cc_other_br_9066465_es.pdf</t>
  </si>
  <si>
    <t>cc_other_br_9066465_es.pdf</t>
  </si>
  <si>
    <t>5f15668a93b52ae8bc2c16eeb19b40ddf44a6d4198448d3e2d25851fe93a9ec3</t>
  </si>
  <si>
    <t>Manuales-20260528T010304Z-3-001/Manuales/draguer respirador/Draeger- VN500/Brochure/PDF1805_Ad Babylog_VN500_Spanisch_30112009_k2.pdf</t>
  </si>
  <si>
    <t>PDF1805_Ad Babylog_VN500_Spanisch_30112009_k2.pdf</t>
  </si>
  <si>
    <t>87497f699c1778b47e45e09b86500a6c9268a920e8312619af885870671c9d02</t>
  </si>
  <si>
    <t>Manuales-20260528T010304Z-3-001/Manuales/draguer respirador/Draeger- VN500/cc_other_train_alphatest_en.avi</t>
  </si>
  <si>
    <t>cc_other_train_alphatest_en.avi</t>
  </si>
  <si>
    <t>.avi</t>
  </si>
  <si>
    <t>f2488be869dfbe9b088428f60b76805fe4389f4291c13a0bdfc57d2786b22edb</t>
  </si>
  <si>
    <t>Video pendiente de validar origen, equipo y necesidad de transcripcion.</t>
  </si>
  <si>
    <t>Manuales-20260528T010304Z-3-001/Manuales/draguer respirador/Draeger- VN500/Cmo_programar_y_visuali.mp4</t>
  </si>
  <si>
    <t>Cmo_programar_y_visuali.mp4</t>
  </si>
  <si>
    <t>.mp4</t>
  </si>
  <si>
    <t>bebdf14d9dff10e537291ec60cb56172be4c78101c0d08cff4bcbfdc61007d52</t>
  </si>
  <si>
    <t>Manuales-20260528T010304Z-3-001/Manuales/draguer respirador/Draeger- VN500/Device Training/01_DeviceTraining_V500_Device_Operation.ppt</t>
  </si>
  <si>
    <t>01_DeviceTraining_V500_Device_Operation.ppt</t>
  </si>
  <si>
    <t>44ff2e80d812e289471f8c07ce98201d495ea73680759ff92aa46813fe3df80b</t>
  </si>
  <si>
    <t>Manuales-20260528T010304Z-3-001/Manuales/draguer respirador/Draeger- VN500/Device Training/01_DeviceTraining_V500_System_Overview.ppt</t>
  </si>
  <si>
    <t>01_DeviceTraining_V500_System_Overview.ppt</t>
  </si>
  <si>
    <t>75a481fd6232fb4739233df9f085f1061888f8516024a1109e3b5888e62a401b</t>
  </si>
  <si>
    <t>Manuales-20260528T010304Z-3-001/Manuales/draguer respirador/Draeger- VN500/Device Training/03_DeviceTraining_V500_Configuration.ppt</t>
  </si>
  <si>
    <t>03_DeviceTraining_V500_Configuration.ppt</t>
  </si>
  <si>
    <t>a2709a3098d3a76a43aa616991f48f7dad7e5138c2a2f2ec914bf1d5c775e2b2</t>
  </si>
  <si>
    <t>Manuales-20260528T010304Z-3-001/Manuales/draguer respirador/Draeger- VN500/Device Training/04_DeviceTraining_V500_Ventilation_Modes_and_Additional_Settings.ppt</t>
  </si>
  <si>
    <t>04_DeviceTraining_V500_Ventilation_Modes_and_Additional_Settings.ppt</t>
  </si>
  <si>
    <t>c4a35e8bb65eb395690bc92269217a08a9e2986706e9d41e478a475925cb1a5f</t>
  </si>
  <si>
    <t>Manuales-20260528T010304Z-3-001/Manuales/draguer respirador/Draeger- VN500/Device Training/05_DeviceTraining_V500_Special_Procedures.ppt</t>
  </si>
  <si>
    <t>05_DeviceTraining_V500_Special_Procedures.ppt</t>
  </si>
  <si>
    <t>38c16171b3e13cca00c449dc9c346f0d2a198c1dd8c99ab8ef5bdfa85261b525</t>
  </si>
  <si>
    <t>Manuales-20260528T010304Z-3-001/Manuales/draguer respirador/Draeger- VN500/Device Training/06_DeviceTraining_V500_Therapy_Types.ppt</t>
  </si>
  <si>
    <t>06_DeviceTraining_V500_Therapy_Types.ppt</t>
  </si>
  <si>
    <t>9b972afbd638de8eb1cd8dddd417c57b40d5c1083eaec03bd3cece022d75301b</t>
  </si>
  <si>
    <t>Manuales-20260528T010304Z-3-001/Manuales/draguer respirador/Draeger- VN500/Device Training/07_DeviceTraining_V500_Advanced_Functions.ppt</t>
  </si>
  <si>
    <t>07_DeviceTraining_V500_Advanced_Functions.ppt</t>
  </si>
  <si>
    <t>6992029f9c778de74df130a5d97ff5b5780bfea97179ae9c8b385d6cb312a5c0</t>
  </si>
  <si>
    <t>Manuales-20260528T010304Z-3-001/Manuales/draguer respirador/Draeger- VN500/Device Training/08_DeviceTraining_V500_Alarm_Behaviour.ppt</t>
  </si>
  <si>
    <t>08_DeviceTraining_V500_Alarm_Behaviour.ppt</t>
  </si>
  <si>
    <t>a30c0e528a299bd22415103c3ac0c8c36510115a7f164ce4e2b2164ae5e1a412</t>
  </si>
  <si>
    <t>Manuales-20260528T010304Z-3-001/Manuales/draguer respirador/Draeger- VN500/Device Training/09_DeviceTraining_V500_Cleaning_and_Disinfection.ppt</t>
  </si>
  <si>
    <t>09_DeviceTraining_V500_Cleaning_and_Disinfection.ppt</t>
  </si>
  <si>
    <t>a741ba0943427159e2ac1006dc833a1071b285e6ff726c4b59e3bfdf053d6b8e</t>
  </si>
  <si>
    <t>Manuales-20260528T010304Z-3-001/Manuales/draguer respirador/Draeger- VN500/Device Training/10_DeviceTraining_V500_Service_and_Maintenance.ppt</t>
  </si>
  <si>
    <t>10_DeviceTraining_V500_Service_and_Maintenance.ppt</t>
  </si>
  <si>
    <t>8358ed88011382545927a3b432d3e7a30b1ba1049cc618182cf3d1463d31876c</t>
  </si>
  <si>
    <t>Manuales-20260528T010304Z-3-001/Manuales/draguer respirador/Draeger- VN500/Device Training/Thumbs.db</t>
  </si>
  <si>
    <t>66e7052210d9442d1377aed89739baef2bd2003b569eaed6ad25fefb8eeab051</t>
  </si>
  <si>
    <t>Manuales-20260528T010304Z-3-001/Manuales/draguer respirador/Draeger- VN500/ejemplo ventilacion AltaFrecuencia.avi</t>
  </si>
  <si>
    <t>ejemplo ventilacion AltaFrecuencia.avi</t>
  </si>
  <si>
    <t>Duplicado exacto de Manuales-20260528T010304Z-3-001/Manuales/draguer respirador/Draeger- VN500/cc_other_train_alphatest_en.avi.</t>
  </si>
  <si>
    <t>Manuales-20260528T010304Z-3-001/Manuales/draguer respirador/Draeger- VN500/entrar en servicio y copiar log errores recarga soft.pdf</t>
  </si>
  <si>
    <t>entrar en servicio y copiar log errores recarga soft.pdf</t>
  </si>
  <si>
    <t>30d54d77a12e26ebabda59a61b90528bd99ad79df390db746bba433fdfdb0e5b</t>
  </si>
  <si>
    <t>Manuales-20260528T010304Z-3-001/Manuales/draguer respirador/Draeger- VN500/Funcionamiento del Ventilador Mecanico.mp4</t>
  </si>
  <si>
    <t>Funcionamiento del Ventilador Mecanico.mp4</t>
  </si>
  <si>
    <t>76be94aeca5c897ad24f54215e9812f4cf41ab9a4a632a8dbed4624704b81d48</t>
  </si>
  <si>
    <t>Manuales-20260528T010304Z-3-001/Manuales/draguer respirador/Draeger- VN500/Manual Usuario-vn500-es.pdf</t>
  </si>
  <si>
    <t>Manual Usuario-vn500-es.pdf</t>
  </si>
  <si>
    <t>18ecdac9f3eeaaa7dc51292d7fd4fef487905cf60fbf716e71847100a0fd11ef</t>
  </si>
  <si>
    <t>PDF sin texto extraible.</t>
  </si>
  <si>
    <t>Manuales-20260528T010304Z-3-001/Manuales/draguer respirador/Draeger- VN500/other_VolumeGuarantee interview Dr.M.Keszler_en.pdf</t>
  </si>
  <si>
    <t>other_VolumeGuarantee interview Dr.M.Keszler_en.pdf</t>
  </si>
  <si>
    <t>a07133fa9c8d1247a6c3f8b4a9d94e5fd173b9edab1d28e384761491dc9a19df</t>
  </si>
  <si>
    <t>Manuales-20260528T010304Z-3-001/Manuales/draguer respirador/Draeger- VN500/Simulation VN500.url</t>
  </si>
  <si>
    <t>Simulation VN500.url</t>
  </si>
  <si>
    <t>.url</t>
  </si>
  <si>
    <t>37ca2b8c65c12dfa6ecdb929c113e8b6594e1a0bf003cfa384c7102ad2473100</t>
  </si>
  <si>
    <t>Manuales-20260528T010304Z-3-001/Manuales/draguer respirador/Draeger- VN500/VN500_customer_pres_es_final.ppt</t>
  </si>
  <si>
    <t>VN500_customer_pres_es_final.ppt</t>
  </si>
  <si>
    <t>1f4ea833e2dbb4fcf2ba8c18e7f1fa912cb8efff1b155a435235ea79003e0e65</t>
  </si>
  <si>
    <t>Manuales-20260528T010304Z-3-001/Manuales/draguer respirador/Draeger- VN500/vn500_with_shadows_and_hoses_091210.wmv</t>
  </si>
  <si>
    <t>vn500_with_shadows_and_hoses_091210.wmv</t>
  </si>
  <si>
    <t>.wmv</t>
  </si>
  <si>
    <t>91f7414912488f5d3a35d758187fc5a0d9d6fc184e1327c98734a09238516972</t>
  </si>
  <si>
    <t>Manuales-20260528T010304Z-3-001/Manuales/draguer respirador/Draeger- VN500/vn500_with_shadows_without_hoses_091210.wmv</t>
  </si>
  <si>
    <t>vn500_with_shadows_without_hoses_091210.wmv</t>
  </si>
  <si>
    <t>ed4ad1d2d4dc7b6c21bcfd9d9c1860fb699d2cb9921e29ee539f9d01209d47ff</t>
  </si>
  <si>
    <t>Manuales-20260528T010304Z-3-001/Manuales/draguer respirador/videos uso VN500.docx</t>
  </si>
  <si>
    <t>videos uso VN500.docx</t>
  </si>
  <si>
    <t>.docx</t>
  </si>
  <si>
    <t>472ec018dd8848034736faeb0faa12ee4ed56368d617be952fd6e1c0af9ca422</t>
  </si>
  <si>
    <t>Manuales-20260528T010304Z-3-001/Manuales/Electrobisturi/Dispo_8155-14 manual kairos.pdf</t>
  </si>
  <si>
    <t>Dispo_8155-14 manual kairos.pdf</t>
  </si>
  <si>
    <t>acf77000b3f2a8cd36f1ca15a3d316d6267a0c1470d95a1e3255bcea8957d2d3</t>
  </si>
  <si>
    <t>Dispo</t>
  </si>
  <si>
    <t>Manuales-20260528T010304Z-3-001/Manuales/Electrobisturi/Leep System 1000.pdf</t>
  </si>
  <si>
    <t>Leep System 1000.pdf</t>
  </si>
  <si>
    <t>541494d25d0bffb23c3b3599882df114b916bc4d0cb0c141cd42d604b59b5770</t>
  </si>
  <si>
    <t>Electrobisturi LEEP System 1000</t>
  </si>
  <si>
    <t>Manuales-20260528T010304Z-3-001/Manuales/Electrobisturi/LEEP-user-manual.pdf</t>
  </si>
  <si>
    <t>LEEP-user-manual.pdf</t>
  </si>
  <si>
    <t>867645271a2951414e8b597a71eb5bc3fa24657792a01cf95b87f11efe2ad947</t>
  </si>
  <si>
    <t>Manuales-20260528T010304Z-3-001/Manuales/Electrobisturi/Minicomp Kairos M-X ESU - Service manual 2 (es) (1).pdf</t>
  </si>
  <si>
    <t>Minicomp Kairos M-X ESU - Service manual 2 (es) (1).pdf</t>
  </si>
  <si>
    <t>e37f5bf5091d10987eab1985778b8657ab9f1305303e27846fd807208008d2a3</t>
  </si>
  <si>
    <t>Kairos</t>
  </si>
  <si>
    <t>Electrobisturi Minicomp Kairos M/X</t>
  </si>
  <si>
    <t>Manuales-20260528T010304Z-3-001/Manuales/Electrobisturi/Valleylab Force FX-C ESU - Service manual.pdf</t>
  </si>
  <si>
    <t>Valleylab Force FX-C ESU - Service manual.pdf</t>
  </si>
  <si>
    <t>3b55c404f8b0751dea6937a6f8485f38d6660321864457dd6a4f76e93ecdc9bc</t>
  </si>
  <si>
    <t>Valleylab</t>
  </si>
  <si>
    <t>Electrobisturi Valleylab Force FX-8C</t>
  </si>
  <si>
    <t>Manuales-20260528T010304Z-3-001/Manuales/Electrobisturi/Valleylab_Force_FX-8c_Electrosurgical_Generator_-_Service_manual.pdf</t>
  </si>
  <si>
    <t>Valleylab_Force_FX-8c_Electrosurgical_Generator_-_Service_manual.pdf</t>
  </si>
  <si>
    <t>97805aa60acc2ef456ad885bf8044cf118074577c56a760a17530d71a92e5b19</t>
  </si>
  <si>
    <t>Manuales-20260528T010304Z-3-001/Manuales/Fressenius 4008S -4008B/Service manual.pdf</t>
  </si>
  <si>
    <t>Service manual.pdf</t>
  </si>
  <si>
    <t>b704725b9caa0b2427f59de463e14d8eca569a2c4ce26800b30a8c3a9c67e636</t>
  </si>
  <si>
    <t>Manuales-20260528T010304Z-3-001/Manuales/Incubadoras/Manual de Usuario Incubadora Medix TR200.pdf</t>
  </si>
  <si>
    <t>Manuales-20260528T010304Z-3-001/Manuales/Incubadoras/Manual Técnico Incubadora Medix Natal Care (ST · MX · LX).pdf</t>
  </si>
  <si>
    <t>Manuales-20260528T010304Z-3-001/Manuales/Incubadoras/Manual Técnico Incubadora Medix Natal Care LX.pdf</t>
  </si>
  <si>
    <t>Manuales-20260528T010304Z-3-001/Manuales/Incubadoras/Manual Técnico Incubadora Medix TR306.pdf</t>
  </si>
  <si>
    <t>Duplicado exacto de Manuales-20260528T010304Z-3-001/Manuales/Camilla de Hemodinamia Stille Q2/Manual Técnico Incubadora Medix TR306.pdf.</t>
  </si>
  <si>
    <t>Manuales-20260528T010304Z-3-001/Manuales/Incubadoras/Manual Usuario y Técnico Incubadora Medix TR 200.pdf</t>
  </si>
  <si>
    <t>Manuales-20260528T010304Z-3-001/Manuales/Leica TP1020/Manual de Servicio Procesador de Tejidos Leica TP 1020 (Inglés).pdf</t>
  </si>
  <si>
    <t>Manual de Servicio Procesador de Tejidos Leica TP 1020 (Inglés).pdf</t>
  </si>
  <si>
    <t>3a9916702d185f6d51fde1b66ed2833f4263eb942cfb9da7895332fff1919cf8</t>
  </si>
  <si>
    <t>Leica</t>
  </si>
  <si>
    <t>TP1020</t>
  </si>
  <si>
    <t>Manuales-20260528T010304Z-3-001/Manuales/Leica TP1020/Manual de Usuario Micrótomo de Rotación Leica RM2125 RTS.pdf</t>
  </si>
  <si>
    <t>Manual de Usuario Micrótomo de Rotación Leica RM2125 RTS.pdf</t>
  </si>
  <si>
    <t>d908bdcaa4133139b199d9c5da011c5a9faa86d00db34d06db03c2b3517d66ba</t>
  </si>
  <si>
    <t>RM2125 RTS</t>
  </si>
  <si>
    <t>El equipo sugerido por la carpeta difiere del identificado en el contenido.</t>
  </si>
  <si>
    <t>Conflicto carpeta / equipo</t>
  </si>
  <si>
    <t>Manuales-20260528T010304Z-3-001/Manuales/Monitores multiparametricos/D3D2 Service Manual (English, New Defib)_2.0_EN.pdf</t>
  </si>
  <si>
    <t>D3D2 Service Manual (English, New Defib)_2.0_EN.pdf</t>
  </si>
  <si>
    <t>Duplicado exacto de Manuales-20260528T010304Z-3-001/Manuales/Desfibrrilador mindray beneheart D3/Manual de Servicio Desfibrilador - Monitor Beneheart D3 · D2 (Inglés).pdf.</t>
  </si>
  <si>
    <t>Manuales-20260528T010304Z-3-001/Manuales/Monitores multiparametricos/ePM Series Compact Monitor_Service Manual_V1.0_EN.pdf</t>
  </si>
  <si>
    <t>ePM Series Compact Monitor_Service Manual_V1.0_EN.pdf</t>
  </si>
  <si>
    <t>7934fc462c6f7e6cb66c42750d3aceb4b33e88b97ba91cd4b4b817d9931a8bf6</t>
  </si>
  <si>
    <t>Monitor Multiparametrico Mindray ePM Series</t>
  </si>
  <si>
    <t>Manuales-20260528T010304Z-3-001/Manuales/Monitores multiparametricos/iMEC_Service Manual_V4.0_EN.pdf</t>
  </si>
  <si>
    <t>iMEC_Service Manual_V4.0_EN.pdf</t>
  </si>
  <si>
    <t>26e6eee40b9ff8d05f1463b3845a61a59c8d04642c59e239716fe128f0897e69</t>
  </si>
  <si>
    <t>Monitor Multiparametrico Mindray iMEC</t>
  </si>
  <si>
    <t>Manuales-20260528T010304Z-3-001/Manuales/Monitores multiparametricos/PM-9000 Service Manual.pdf</t>
  </si>
  <si>
    <t>PM-9000 Service Manual.pdf</t>
  </si>
  <si>
    <t>386f2e8267cda51ae9022db39a724de8cd7150765af440eb50f3abc248413159</t>
  </si>
  <si>
    <t>Monitor Multiparametrico Mindray PM-9000</t>
  </si>
  <si>
    <t>Manuales-20260528T010304Z-3-001/Manuales/Pimax/HD-67 Troubleshooting equipos rodantes MAC GMM V2.pdf</t>
  </si>
  <si>
    <t>HD-67 Troubleshooting equipos rodantes MAC GMM V2.pdf</t>
  </si>
  <si>
    <t>6b9cbc4ce47d3bcac673992cb14acd66f151d72751dcda36c5719240c7a95ffe</t>
  </si>
  <si>
    <t>MAC GMM</t>
  </si>
  <si>
    <t>HD-67</t>
  </si>
  <si>
    <t>Manuales-20260528T010304Z-3-001/Manuales/Sillones odontologicos/Manual de Usuario Incubadora Medix TR200.pdf</t>
  </si>
  <si>
    <t>Manuales-20260528T010304Z-3-001/Manuales/Sillones odontologicos/Manual Técnico Incubadora Medix Natal Care (ST · MX · LX).pdf</t>
  </si>
  <si>
    <t>Manuales-20260528T010304Z-3-001/Manuales/Sillones odontologicos/Manual Técnico Incubadora Medix Natal Care LX.pdf</t>
  </si>
  <si>
    <t>Manuales-20260528T010304Z-3-001/Manuales/Sillones odontologicos/Manual Técnico Incubadora Medix TR306.pdf</t>
  </si>
  <si>
    <t>Manuales-20260528T010304Z-3-001/Manuales/Sillones odontologicos/Manual Usuario y Técnico Incubadora Medix TR 200.pdf</t>
  </si>
  <si>
    <t>Manuales-20260528T010304Z-3-001/Manuales/Sterrad/Manual de Servicio Esterilizadora Sterrad 100 (Ing).pdf</t>
  </si>
  <si>
    <t>Manual de Servicio Esterilizadora Sterrad 100 (Ing).pdf</t>
  </si>
  <si>
    <t>e19515b8d392dba30d7e7bd79145235954520821b1f05e215822182a29975a94</t>
  </si>
  <si>
    <t>ASP / Sterrad</t>
  </si>
  <si>
    <t>Sterrad 100</t>
  </si>
  <si>
    <t>Manuales-20260528T010304Z-3-001/Manuales/TP/FG-TP-80.pdf</t>
  </si>
  <si>
    <t>FG-TP-80.pdf</t>
  </si>
  <si>
    <t>4567c8ab45d6ff6d21487b791b829e2e8b213e9ef726ffe4117461a4d7dce681</t>
  </si>
  <si>
    <t>Manuales-20260528T010304Z-3-001/Manuales/TP/TP 100/MANUAL DE MANTENIMIENTO PREVENT. TP-100.doc</t>
  </si>
  <si>
    <t>MANUAL DE MANTENIMIENTO PREVENT. TP-100.doc</t>
  </si>
  <si>
    <t>.doc</t>
  </si>
  <si>
    <t>4c78d89a507e7d45b4351a502dea84387691f92b79d7782d9154d794cdb50750</t>
  </si>
  <si>
    <t>Tratamiento de Agua Portatil TP-100</t>
  </si>
  <si>
    <t>Manuales-20260528T010304Z-3-001/Manuales/TP/TP 100/Manual TP 100 Castellano V2.pdf</t>
  </si>
  <si>
    <t>Manual TP 100 Castellano V2.pdf</t>
  </si>
  <si>
    <t>f16c28cc5fa128c0a42e0dc743da425a178b5e7438cf4019a54c84217d26d78d</t>
  </si>
  <si>
    <t>Manuales-20260528T010304Z-3-001/Manuales/TP/TP 100/Plano Electrico TP-100NEW.pdf</t>
  </si>
  <si>
    <t>Plano Electrico TP-100NEW.pdf</t>
  </si>
  <si>
    <t>b3aa1d20ecd81959cab8095a8c0b385eb82e885cd8d222829a5fcf44d7152f10</t>
  </si>
  <si>
    <t>Plano / diagrama</t>
  </si>
  <si>
    <t>Manuales-20260528T010304Z-3-001/Manuales/Ventiladores mecánicos/crossvent/IfU_Globe_Trotter_GT5400_Crossvent_2i__MU21764.pdf</t>
  </si>
  <si>
    <t>IfU_Globe_Trotter_GT5400_Crossvent_2i__MU21764.pdf</t>
  </si>
  <si>
    <t>0460809b8c9d61a3fdb61a4f25df3bfad8c96d0074b40783b1e4e73348784019</t>
  </si>
  <si>
    <t>Crossvent</t>
  </si>
  <si>
    <t>Ventilador Crossvent 2i</t>
  </si>
  <si>
    <t>Manuales-20260528T010304Z-3-001/Manuales/Ventiladores mecánicos/crossvent/manual Crossvent 3.pdf</t>
  </si>
  <si>
    <t>manual Crossvent 3.pdf</t>
  </si>
  <si>
    <t>7f7797dd6d6ab87f6e48c8a5d4b6373defd73a4ad011556a32c6ae262265b4b0</t>
  </si>
  <si>
    <t>Ventilador Crossvent 3</t>
  </si>
  <si>
    <t>Manuales-20260528T010304Z-3-001/Manuales/Ventiladores mecánicos/crossvent/Manual Crossvent_2 (1).pdf</t>
  </si>
  <si>
    <t>Manual Crossvent_2 (1).pdf</t>
  </si>
  <si>
    <t>Duplicado exacto de Manuales-20260528T010304Z-3-001/Manuales/Ventiladores mecánicos/crossvent/IfU_Globe_Trotter_GT5400_Crossvent_2i__MU21764.pdf.</t>
  </si>
  <si>
    <t>Manuales-20260528T010304Z-3-001/Manuales/Ventiladores mecánicos/crossvent/Manual de servicio CrossVent - BIOMED Devices crossvent 4.pdf</t>
  </si>
  <si>
    <t>Manual de servicio CrossVent - BIOMED Devices crossvent 4.pdf</t>
  </si>
  <si>
    <t>84abc3c1de956bf35d3e3327a43c136c704bf1a7891a68c5fd968d33dbdc29fd</t>
  </si>
  <si>
    <t>Ventilador Crossvent 4</t>
  </si>
  <si>
    <t>Manuales-20260528T010304Z-3-001/Manuales/Ventiladores mecánicos/Datex Ohmeda/Datex-Ohmeda-Engstrom-VentilatorTechnical-Manual.pdf</t>
  </si>
  <si>
    <t>Datex-Ohmeda-Engstrom-VentilatorTechnical-Manual.pdf</t>
  </si>
  <si>
    <t>3cab9503b91d238af13c3328cba4d93865d9e363fb424e4544b89213eaa1230d</t>
  </si>
  <si>
    <t>Manuales-20260528T010304Z-3-001/Manuales/Ventiladores mecánicos/Engstrom carestation/Guia Rapida para enfermeras.pdf</t>
  </si>
  <si>
    <t>Guia Rapida para enfermeras.pdf</t>
  </si>
  <si>
    <t>426b5552a5981d03369de89c2d597f9e4ff577c2c7003dd9f924fadcfa46d2e2</t>
  </si>
  <si>
    <t>Guía rápida</t>
  </si>
  <si>
    <t>Manuales-20260528T010304Z-3-001/Manuales/Ventiladores mecánicos/Engstrom carestation/Manual de usuario Engstrom Carestation - ANEXO- ES.pdf</t>
  </si>
  <si>
    <t>Manual de usuario Engstrom Carestation - ANEXO- ES.pdf</t>
  </si>
  <si>
    <t>b5304afeed214456e966c627db1f0fc872894f2cf37016b0baf39765451c04b4</t>
  </si>
  <si>
    <t>GE</t>
  </si>
  <si>
    <t>Ventilador GE Engstrom Carestation</t>
  </si>
  <si>
    <t>Manuales-20260528T010304Z-3-001/Manuales/Ventiladores mecánicos/Engstrom carestation/Manual de usuario Engstrom Carestation - ES.pdf</t>
  </si>
  <si>
    <t>Manual de usuario Engstrom Carestation - ES.pdf</t>
  </si>
  <si>
    <t>013588206992ce8834b48d199a3dc1b3063273d88a4b62a16e05d877c37402e6</t>
  </si>
  <si>
    <t>Manuales-20260528T010304Z-3-001/Manuales/Ventiladores mecánicos/Engstrom carestation/Manual Service Engstrom.pdf</t>
  </si>
  <si>
    <t>Manual Service Engstrom.pdf</t>
  </si>
  <si>
    <t>Duplicado exacto de Manuales-20260528T010304Z-3-001/Manuales/Ventiladores mecánicos/Datex Ohmeda/Datex-Ohmeda-Engstrom-VentilatorTechnical-Manual.pdf.</t>
  </si>
  <si>
    <t>Manuales-20260528T010304Z-3-001/Manuales/Ventiladores mecánicos/Engstrom carestation/Ventilacion No Invasiva.pdf</t>
  </si>
  <si>
    <t>Ventilacion No Invasiva.pdf</t>
  </si>
  <si>
    <t>ff29d51d8ddd63eb3f2fbf9d738e0c043ff0bc77c4079d52e28509d9f765ad81</t>
  </si>
  <si>
    <t>Manuales-20260528T010304Z-3-001/Manuales/Ventiladores mecánicos/Introduccion-Newport-HT-70-Plus.pdf</t>
  </si>
  <si>
    <t>Introduccion-Newport-HT-70-Plus.pdf</t>
  </si>
  <si>
    <t>e6891f6bd1d07b225f37a8167e76c185b65f172f701ba1eb2d42b96d1a858939</t>
  </si>
  <si>
    <t>Newport</t>
  </si>
  <si>
    <t>HT70</t>
  </si>
  <si>
    <t>Manuales-20260528T010304Z-3-001/Manuales/Ventiladores mecánicos/LEISTUNG/5. Nivel 3 Terapia fallas frecuentes - fuga (1).pdf</t>
  </si>
  <si>
    <t>5. Nivel 3 Terapia fallas frecuentes - fuga (1).pdf</t>
  </si>
  <si>
    <t>47355dcf6a899fb7ff87e605ad7b6ebf5301dd008970f7bc193a6e112e65de06</t>
  </si>
  <si>
    <t>Leistung</t>
  </si>
  <si>
    <t>Manuales-20260528T010304Z-3-001/Manuales/Ventiladores mecánicos/LEISTUNG/6. Nivel 3 Terapia fallas frecuentes - presion (1).pdf</t>
  </si>
  <si>
    <t>6. Nivel 3 Terapia fallas frecuentes - presion (1).pdf</t>
  </si>
  <si>
    <t>641dfdd2533be8609a37e62b54170db60a9f5c5e932d8776e2e5a430da4a0b21</t>
  </si>
  <si>
    <t>Manuales-20260528T010304Z-3-001/Manuales/Ventiladores mecánicos/LEISTUNG/7. Nivel 3 Terapia fallas frecuentes - flujo (2).pdf</t>
  </si>
  <si>
    <t>7. Nivel 3 Terapia fallas frecuentes - flujo (2).pdf</t>
  </si>
  <si>
    <t>88c38976a48852972637415fc76d0d49d1eb9afae02bba00953d2293d46e09e5</t>
  </si>
  <si>
    <t>Manuales-20260528T010304Z-3-001/Manuales/Ventiladores mecánicos/LEISTUNG/L3APNMU--B Manual de usuario LUFT3APN-AP (1).pdf</t>
  </si>
  <si>
    <t>L3APNMU--B Manual de usuario LUFT3APN-AP (1).pdf</t>
  </si>
  <si>
    <t>9fbf5eea9ccc1fbc4a7560ba75689cd86182d6544fd83015d461ba2db45a8aa0</t>
  </si>
  <si>
    <t>Ventilador Leistung Luft3</t>
  </si>
  <si>
    <t>Manuales-20260528T010304Z-3-001/Manuales/Ventiladores mecánicos/Manual de Calibración Neumovent Graph.pdf</t>
  </si>
  <si>
    <t>Manual de Calibración Neumovent Graph.pdf</t>
  </si>
  <si>
    <t>55006e9fedfc34fe4dc62b2a2347b81e99c7e7382186adb6e809639d390085f1</t>
  </si>
  <si>
    <t>Neumovent</t>
  </si>
  <si>
    <t>Respirador Neumovent Graph</t>
  </si>
  <si>
    <t>Manual de calibración</t>
  </si>
  <si>
    <t>Manuales-20260528T010304Z-3-001/Manuales/Ventiladores mecánicos/Manual Técnico Ventilador Engström (Español).pdf</t>
  </si>
  <si>
    <t>Manual Técnico Ventilador Engström (Español).pdf</t>
  </si>
  <si>
    <t>ceed4c37509f06cd19b21dae2ce9c212481643e2d4b040d331c5d274e0e86427</t>
  </si>
  <si>
    <t>Manuales-20260528T010304Z-3-001/Manuales/Ventiladores mecánicos/Manual Técnico Ventilador GE Engström (Aleman).pdf</t>
  </si>
  <si>
    <t>Manual Técnico Ventilador GE Engström (Aleman).pdf</t>
  </si>
  <si>
    <t>Manuales-20260528T010304Z-3-001/Manuales/Ventiladores mecánicos/Manual Técnico Ventilador GE Engström.pdf</t>
  </si>
  <si>
    <t>Manual Técnico Ventilador GE Engström.pdf</t>
  </si>
  <si>
    <t>Manuales-20260528T010304Z-3-001/Manuales/Ventiladores mecánicos/Manual Técnico Ventilador Neumovent GraphNet Neo TS.pdf</t>
  </si>
  <si>
    <t>Manual Técnico Ventilador Neumovent GraphNet Neo TS.pdf</t>
  </si>
  <si>
    <t>3aa9b85a2bbe83396163014648577f4eb48ab88a77c071c562d0ae8452548022</t>
  </si>
  <si>
    <t>Manuales-20260528T010304Z-3-001/Manuales/Ventiladores mecánicos/manualtcniconeumovent/CALIBRACÍON.pdf</t>
  </si>
  <si>
    <t>CALIBRACÍON.pdf</t>
  </si>
  <si>
    <t>Duplicado exacto de Manuales-20260528T010304Z-3-001/Manuales/Ventiladores mecánicos/Manual de Calibración Neumovent Graph.pdf.</t>
  </si>
  <si>
    <t>Manuales-20260528T010304Z-3-001/Manuales/Ventiladores mecánicos/manualtcniconeumovent/Manual tecnico NV-Graph Rev-03.pdf</t>
  </si>
  <si>
    <t>Manual tecnico NV-Graph Rev-03.pdf</t>
  </si>
  <si>
    <t>d33f6ee7f8331dad6890fbca86b5f5d0ab6001b901246858ad41ccc5fbf3b0ab</t>
  </si>
  <si>
    <t>Manuales-20260528T010304Z-3-001/Manuales/Ventiladores mecánicos/manualtcniconeumovent/MANUALTECNICO BEBE Rev-01.pdf</t>
  </si>
  <si>
    <t>MANUALTECNICO BEBE Rev-01.pdf</t>
  </si>
  <si>
    <t>5aadebb32206ce550ce1fbe30e4aab7c9ebcf37cfb10fc941305e6df79eb8c46</t>
  </si>
  <si>
    <t>Manuales-20260528T010304Z-3-001/Manuales/Ventiladores mecánicos/manualtcniconeumovent/pdfcoffee.com_manual-tecnico-neumovent-advance-neo-ts-2-pdf-free.pdf</t>
  </si>
  <si>
    <t>pdfcoffee.com_manual-tecnico-neumovent-advance-neo-ts-2-pdf-free.pdf</t>
  </si>
  <si>
    <t>ddb697d214eb3ace8f6c595d33e4d567596a7f420c793b5b1e6f226d6044db22</t>
  </si>
  <si>
    <t>Manuales-20260528T010304Z-3-001/Manuales/Ventiladores mecánicos/manualtcniconeumovent/Tecme GraphNet Ventilator - Service manual (es).pdf</t>
  </si>
  <si>
    <t>Tecme GraphNet Ventilator - Service manual (es).pdf</t>
  </si>
  <si>
    <t>e178e64e1f9ab07c919ee3ba4d0a8ddf84b3697dc748e9e705f86eb19c2710d1</t>
  </si>
  <si>
    <t>Manuales-20260528T010304Z-3-001/Manuales/Ventiladores mecánicos/manualtcniconeumovent.zip</t>
  </si>
  <si>
    <t>manualtcniconeumovent.zip</t>
  </si>
  <si>
    <t>.zip</t>
  </si>
  <si>
    <t>f6721edef5c1d8ab9fa47cc305f9c17dbb7d2220ab0d107df05802599fc3ba34</t>
  </si>
  <si>
    <t>Manuales-20260528T010304Z-3-001/Manuales/Ventiladores mecánicos/Maquet/Maquet Servo I Service Manual 2 of 2.pdf</t>
  </si>
  <si>
    <t>Maquet Servo I Service Manual 2 of 2.pdf</t>
  </si>
  <si>
    <t>fbae63493cd79e39b974a56f7cc782689b710792c24941f655b93fc82d1ecb78</t>
  </si>
  <si>
    <t>Maquet</t>
  </si>
  <si>
    <t>Ventilador Maquet Servo-i</t>
  </si>
  <si>
    <t>Manuales-20260528T010304Z-3-001/Manuales/Ventiladores mecánicos/Maquet/Maquet-Servo-i-Service-Manual.pdf</t>
  </si>
  <si>
    <t>Maquet-Servo-i-Service-Manual.pdf</t>
  </si>
  <si>
    <t>c0cdbe9e0a7707ed188454c2a2f5996767716deb35b00b0ac0877ec94b01d58c</t>
  </si>
  <si>
    <t>Manuales-20260528T010304Z-3-001/Manuales/Ventiladores mecánicos/Neumovent/clave.jpg</t>
  </si>
  <si>
    <t>clave.jpg</t>
  </si>
  <si>
    <t>.jpg</t>
  </si>
  <si>
    <t>f4f55a009e29a5e7d79c10dfcfdf33fcc177296ed8eca6d306d7652b4fcdbcbf</t>
  </si>
  <si>
    <t>Manuales-20260528T010304Z-3-001/Manuales/Ventiladores mecánicos/Neumovent/Manual-de-usuario-Neumovent-advance-ts-neo.pdf</t>
  </si>
  <si>
    <t>Manual-de-usuario-Neumovent-advance-ts-neo.pdf</t>
  </si>
  <si>
    <t>1c7951e6fe5b3ade60e197a001673bdab53479dca49e5138b54b7150ede1f904</t>
  </si>
  <si>
    <t>Manuales-20260528T010304Z-3-001/Manuales/Ventiladores mecánicos/Neumovent/Neumovent GraphNet Neo TS Ventilator - Service manual (es).pdf</t>
  </si>
  <si>
    <t>Neumovent GraphNet Neo TS Ventilator - Service manual (es).pdf</t>
  </si>
  <si>
    <t>Duplicado exacto de Manuales-20260528T010304Z-3-001/Manuales/Ventiladores mecánicos/Manual Técnico Ventilador Neumovent GraphNet Neo TS.pdf.</t>
  </si>
  <si>
    <t>Manuales-20260528T010304Z-3-001/Manuales/Ventiladores mecánicos/Newport HT-70 Ventilator - Service manual.pdf</t>
  </si>
  <si>
    <t>Newport HT-70 Ventilator - Service manual.pdf</t>
  </si>
  <si>
    <t>7091f64ec97458f305ad65063eb04a291d853993b9442c0e59d117bc33098f9e</t>
  </si>
  <si>
    <t>Manuales-20260528T010304Z-3-001/Manuales/Ventiladores mecánicos/Puritan Bennett/limpieza Puritan Bennett solve valve.mp4</t>
  </si>
  <si>
    <t>limpieza Puritan Bennett solve valve.mp4</t>
  </si>
  <si>
    <t>b8d406cbe1b49b882f13edbb19309e27484ca56c6fb75fd4fcf7754c83718f79</t>
  </si>
  <si>
    <t>Manuales-20260528T010304Z-3-001/Manuales/Ventiladores mecánicos/respimeradores.pdf</t>
  </si>
  <si>
    <t>respimeradores.pdf</t>
  </si>
  <si>
    <t>c18ba0f91dbe9717a2bd2497abc9f8a34a36ed61a85ea28c6ed4155b78f7e7be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</si>
</sst>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rlito"/>
    </font>
    <font>
      <b/>
      <sz val="18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color rgb="FF134E4A"/>
      <name val="Carlito"/>
    </font>
    <font>
      <b/>
      <sz val="14"/>
      <color rgb="FF0F172A"/>
      <name val="Carlito"/>
    </font>
    <font>
      <sz val="11"/>
      <color rgb="FF334155"/>
      <name val="Carlito"/>
    </font>
    <font>
      <sz val="11"/>
      <color rgb="FF1E293B"/>
      <name val="Carlito"/>
    </font>
    <font>
      <sz val="10"/>
      <color rgb="FF1E293B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75985"/>
      </patternFill>
    </fill>
    <fill>
      <patternFill patternType="solid">
        <fgColor rgb="FFE0F2FE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0" xfId="0" applyNumberFormat="1" applyFont="1" applyFill="1" applyBorder="1"/>
    <xf numFmtId="0" fontId="4" fillId="5" borderId="0" xfId="0" applyNumberFormat="1" applyFont="1" applyFill="1" applyBorder="1"/>
    <xf numFmtId="1" fontId="5" fillId="6" borderId="0" xfId="0" applyNumberFormat="1" applyFont="1" applyFill="1" applyBorder="1" applyAlignment="1">
      <alignment horizontal="center"/>
    </xf>
    <xf numFmtId="0" fontId="7" fillId="7" borderId="0" xfId="0" applyNumberFormat="1" applyFont="1" applyFill="1" applyBorder="1"/>
    <xf numFmtId="0" fontId="0" fillId="7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2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0" fontId="8" fillId="8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 wrapText="1"/>
    </xf>
    <xf numFmtId="0" fontId="8" fillId="8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/>
    <xf numFmtId="0" fontId="6" fillId="6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Decisiones de curaduría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Resumen!$A$14:$A$16</c:f>
              <c:strCache>
                <c:ptCount val="3"/>
                <c:pt idx="0">
                  <c:v>Pendiente</c:v>
                </c:pt>
                <c:pt idx="1">
                  <c:v>Aprobado</c:v>
                </c:pt>
                <c:pt idx="2">
                  <c:v>Rechazado</c:v>
                </c:pt>
              </c:strCache>
            </c:strRef>
          </c:cat>
          <c:val>
            <c:numRef>
              <c:f>Resumen!$B$14:$B$16</c:f>
              <c:numCache>
                <c:formatCode>General</c:formatCode>
                <c:ptCount val="3"/>
                <c:pt idx="0">
                  <c:v>137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1-4CCF-9437-0FC7D7899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nventarioDocumental" displayName="InventarioDocumental" ref="A1:U138">
  <autoFilter ref="A1:U138"/>
  <tableColumns count="21">
    <tableColumn id="1" name="Ruta original"/>
    <tableColumn id="2" name="Nombre archivo"/>
    <tableColumn id="3" name="Extensión"/>
    <tableColumn id="4" name="Tamaño (MB)"/>
    <tableColumn id="5" name="Hash SHA-256"/>
    <tableColumn id="6" name="Cantidad páginas"/>
    <tableColumn id="7" name="Tiene texto extraíble"/>
    <tableColumn id="8" name="Requiere OCR"/>
    <tableColumn id="9" name="Tiene imagenes"/>
    <tableColumn id="10" name="Idioma detectado"/>
    <tableColumn id="11" name="Fabricante inferido"/>
    <tableColumn id="12" name="Modelo inferido"/>
    <tableColumn id="13" name="Estado curaduría"/>
    <tableColumn id="14" name="Motivo"/>
    <tableColumn id="15" name="Tipo documental sugerido"/>
    <tableColumn id="16" name="Alerta automática"/>
    <tableColumn id="17" name="Fabricante validado"/>
    <tableColumn id="18" name="Modelo validado"/>
    <tableColumn id="19" name="Rol habilitado"/>
    <tableColumn id="20" name="Versión / revisión"/>
    <tableColumn id="2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opLeftCell="A7" workbookViewId="0">
      <selection sqref="A1:H2"/>
    </sheetView>
  </sheetViews>
  <sheetFormatPr baseColWidth="10" defaultColWidth="8.88671875" defaultRowHeight="14.4" x14ac:dyDescent="0.3"/>
  <cols>
    <col min="1" max="1" width="29" customWidth="1"/>
    <col min="2" max="2" width="42" customWidth="1"/>
    <col min="3" max="3" width="3" customWidth="1"/>
    <col min="4" max="8" width="20" customWidth="1"/>
  </cols>
  <sheetData>
    <row r="1" spans="1:8" ht="30" customHeight="1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3"/>
      <c r="B2" s="13"/>
      <c r="C2" s="13"/>
      <c r="D2" s="13"/>
      <c r="E2" s="13"/>
      <c r="F2" s="13"/>
      <c r="G2" s="13"/>
      <c r="H2" s="13"/>
    </row>
    <row r="3" spans="1:8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5" spans="1:8" x14ac:dyDescent="0.3">
      <c r="A5" s="1" t="s">
        <v>2</v>
      </c>
      <c r="B5" s="1" t="s">
        <v>3</v>
      </c>
      <c r="D5" s="15" t="s">
        <v>4</v>
      </c>
      <c r="E5" s="15"/>
      <c r="F5" s="15"/>
      <c r="G5" s="15"/>
      <c r="H5" s="15"/>
    </row>
    <row r="6" spans="1:8" ht="27" customHeight="1" x14ac:dyDescent="0.35">
      <c r="A6" s="2" t="s">
        <v>5</v>
      </c>
      <c r="B6" s="3">
        <f>COUNTA(Inventario!A2:A5000)</f>
        <v>137</v>
      </c>
      <c r="D6" s="16" t="s">
        <v>6</v>
      </c>
      <c r="E6" s="16"/>
      <c r="F6" s="16"/>
      <c r="G6" s="16"/>
      <c r="H6" s="16"/>
    </row>
    <row r="7" spans="1:8" ht="27" customHeight="1" x14ac:dyDescent="0.35">
      <c r="A7" s="2" t="s">
        <v>7</v>
      </c>
      <c r="B7" s="3">
        <f>COUNTIF(Inventario!H2:H5000,"Revisar")</f>
        <v>45</v>
      </c>
      <c r="D7" s="16"/>
      <c r="E7" s="16"/>
      <c r="F7" s="16"/>
      <c r="G7" s="16"/>
      <c r="H7" s="16"/>
    </row>
    <row r="8" spans="1:8" ht="27" customHeight="1" x14ac:dyDescent="0.35">
      <c r="A8" s="2" t="s">
        <v>8</v>
      </c>
      <c r="B8" s="3">
        <f>COUNTIF(Inventario!P2:P5000,"Conflicto carpeta / equipo")</f>
        <v>4</v>
      </c>
      <c r="D8" s="16"/>
      <c r="E8" s="16"/>
      <c r="F8" s="16"/>
      <c r="G8" s="16"/>
      <c r="H8" s="16"/>
    </row>
    <row r="9" spans="1:8" ht="27" customHeight="1" x14ac:dyDescent="0.35">
      <c r="A9" s="2" t="s">
        <v>9</v>
      </c>
      <c r="B9" s="3">
        <f>COUNTIF(Inventario!P2:P5000,"Duplicado exacto")</f>
        <v>20</v>
      </c>
      <c r="D9" s="16"/>
      <c r="E9" s="16"/>
      <c r="F9" s="16"/>
      <c r="G9" s="16"/>
      <c r="H9" s="16"/>
    </row>
    <row r="10" spans="1:8" ht="27" customHeight="1" x14ac:dyDescent="0.35">
      <c r="A10" s="2" t="s">
        <v>10</v>
      </c>
      <c r="B10" s="3">
        <f>COUNTIF(Inventario!M2:M5000,"Pendiente")</f>
        <v>137</v>
      </c>
      <c r="D10" s="16"/>
      <c r="E10" s="16"/>
      <c r="F10" s="16"/>
      <c r="G10" s="16"/>
      <c r="H10" s="16"/>
    </row>
    <row r="13" spans="1:8" x14ac:dyDescent="0.3">
      <c r="A13" s="1" t="s">
        <v>11</v>
      </c>
      <c r="B13" s="1" t="s">
        <v>3</v>
      </c>
    </row>
    <row r="14" spans="1:8" x14ac:dyDescent="0.3">
      <c r="A14" s="4" t="s">
        <v>12</v>
      </c>
      <c r="B14" s="4">
        <f>COUNTIF(Inventario!M2:M5000,"Pendiente")</f>
        <v>137</v>
      </c>
    </row>
    <row r="15" spans="1:8" x14ac:dyDescent="0.3">
      <c r="A15" s="4" t="s">
        <v>13</v>
      </c>
      <c r="B15" s="4">
        <f>COUNTIF(Inventario!M2:M5000,"Aprobado")</f>
        <v>0</v>
      </c>
    </row>
    <row r="16" spans="1:8" x14ac:dyDescent="0.3">
      <c r="A16" s="4" t="s">
        <v>14</v>
      </c>
      <c r="B16" s="4">
        <f>COUNTIF(Inventario!M2:M5000,"Rechazado")</f>
        <v>0</v>
      </c>
    </row>
    <row r="19" spans="1:2" x14ac:dyDescent="0.3">
      <c r="A19" s="1" t="s">
        <v>15</v>
      </c>
      <c r="B19" s="1" t="s">
        <v>16</v>
      </c>
    </row>
    <row r="20" spans="1:2" ht="30" customHeight="1" x14ac:dyDescent="0.3">
      <c r="A20" s="5" t="s">
        <v>12</v>
      </c>
      <c r="B20" s="5" t="s">
        <v>17</v>
      </c>
    </row>
    <row r="21" spans="1:2" ht="30" customHeight="1" x14ac:dyDescent="0.3">
      <c r="A21" s="5" t="s">
        <v>13</v>
      </c>
      <c r="B21" s="5" t="s">
        <v>18</v>
      </c>
    </row>
    <row r="22" spans="1:2" ht="30" customHeight="1" x14ac:dyDescent="0.3">
      <c r="A22" s="5" t="s">
        <v>14</v>
      </c>
      <c r="B22" s="5" t="s">
        <v>19</v>
      </c>
    </row>
    <row r="23" spans="1:2" ht="30" customHeight="1" x14ac:dyDescent="0.3">
      <c r="A23" s="5" t="s">
        <v>20</v>
      </c>
      <c r="B23" s="5" t="s">
        <v>21</v>
      </c>
    </row>
  </sheetData>
  <mergeCells count="4">
    <mergeCell ref="A1:H2"/>
    <mergeCell ref="A3:H3"/>
    <mergeCell ref="D5:H5"/>
    <mergeCell ref="D6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8"/>
  <sheetViews>
    <sheetView showGridLines="0" tabSelected="1" topLeftCell="A84" workbookViewId="0">
      <selection activeCell="A90" sqref="A90"/>
    </sheetView>
  </sheetViews>
  <sheetFormatPr baseColWidth="10" defaultColWidth="8.88671875" defaultRowHeight="14.4" x14ac:dyDescent="0.3"/>
  <cols>
    <col min="1" max="1" width="42" customWidth="1"/>
    <col min="2" max="2" width="36" customWidth="1"/>
    <col min="3" max="3" width="11" customWidth="1"/>
    <col min="4" max="4" width="13" customWidth="1"/>
    <col min="5" max="5" width="40" customWidth="1"/>
    <col min="6" max="6" width="14" customWidth="1"/>
    <col min="7" max="7" width="19" customWidth="1"/>
    <col min="8" max="8" width="15" customWidth="1"/>
    <col min="9" max="9" width="14" customWidth="1"/>
    <col min="10" max="10" width="16" customWidth="1"/>
    <col min="11" max="11" width="20" customWidth="1"/>
    <col min="12" max="12" width="31.6640625" customWidth="1"/>
    <col min="13" max="13" width="19" customWidth="1"/>
    <col min="14" max="14" width="42" customWidth="1"/>
    <col min="15" max="15" width="25" customWidth="1"/>
    <col min="16" max="16" width="27" customWidth="1"/>
    <col min="17" max="17" width="22" customWidth="1"/>
    <col min="18" max="18" width="24" customWidth="1"/>
    <col min="19" max="20" width="18" customWidth="1"/>
    <col min="21" max="21" width="38" customWidth="1"/>
  </cols>
  <sheetData>
    <row r="1" spans="1:21" ht="36" customHeight="1" x14ac:dyDescent="0.3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33</v>
      </c>
      <c r="M1" s="6" t="s">
        <v>11</v>
      </c>
      <c r="N1" s="6" t="s">
        <v>34</v>
      </c>
      <c r="O1" s="6" t="s">
        <v>35</v>
      </c>
      <c r="P1" s="6" t="s">
        <v>36</v>
      </c>
      <c r="Q1" s="6" t="s">
        <v>37</v>
      </c>
      <c r="R1" s="6" t="s">
        <v>38</v>
      </c>
      <c r="S1" s="6" t="s">
        <v>39</v>
      </c>
      <c r="T1" s="6" t="s">
        <v>40</v>
      </c>
      <c r="U1" s="6" t="s">
        <v>41</v>
      </c>
    </row>
    <row r="2" spans="1:21" ht="54" customHeight="1" x14ac:dyDescent="0.3">
      <c r="A2" s="11" t="s">
        <v>42</v>
      </c>
      <c r="B2" s="11" t="s">
        <v>43</v>
      </c>
      <c r="C2" s="7" t="s">
        <v>44</v>
      </c>
      <c r="D2" s="8">
        <v>1.5734786987304688</v>
      </c>
      <c r="E2" s="7" t="s">
        <v>45</v>
      </c>
      <c r="F2" s="9">
        <v>44</v>
      </c>
      <c r="G2" s="7" t="s">
        <v>46</v>
      </c>
      <c r="H2" s="7" t="s">
        <v>47</v>
      </c>
      <c r="I2" s="7" t="s">
        <v>46</v>
      </c>
      <c r="J2" s="7" t="s">
        <v>48</v>
      </c>
      <c r="K2" s="7" t="s">
        <v>49</v>
      </c>
      <c r="L2" s="7" t="s">
        <v>50</v>
      </c>
      <c r="M2" s="10" t="s">
        <v>12</v>
      </c>
      <c r="N2" s="11" t="s">
        <v>51</v>
      </c>
      <c r="O2" s="11" t="s">
        <v>52</v>
      </c>
      <c r="P2" s="11" t="s">
        <v>53</v>
      </c>
      <c r="Q2" s="10"/>
      <c r="R2" s="10"/>
      <c r="S2" s="10"/>
      <c r="T2" s="10"/>
      <c r="U2" s="12"/>
    </row>
    <row r="3" spans="1:21" ht="54" customHeight="1" x14ac:dyDescent="0.3">
      <c r="A3" s="11" t="s">
        <v>54</v>
      </c>
      <c r="B3" s="11" t="s">
        <v>55</v>
      </c>
      <c r="C3" s="7" t="s">
        <v>44</v>
      </c>
      <c r="D3" s="8">
        <v>4.3500900268554688E-2</v>
      </c>
      <c r="E3" s="7" t="s">
        <v>56</v>
      </c>
      <c r="F3" s="9">
        <v>1</v>
      </c>
      <c r="G3" s="7" t="s">
        <v>46</v>
      </c>
      <c r="H3" s="7" t="s">
        <v>47</v>
      </c>
      <c r="I3" s="7" t="s">
        <v>46</v>
      </c>
      <c r="J3" s="7" t="s">
        <v>57</v>
      </c>
      <c r="K3" s="7" t="s">
        <v>58</v>
      </c>
      <c r="L3" s="7" t="s">
        <v>59</v>
      </c>
      <c r="M3" s="10" t="s">
        <v>12</v>
      </c>
      <c r="N3" s="11" t="s">
        <v>51</v>
      </c>
      <c r="O3" s="11" t="s">
        <v>60</v>
      </c>
      <c r="P3" s="11" t="s">
        <v>53</v>
      </c>
      <c r="Q3" s="10"/>
      <c r="R3" s="10"/>
      <c r="S3" s="10"/>
      <c r="T3" s="10"/>
      <c r="U3" s="12"/>
    </row>
    <row r="4" spans="1:21" ht="54" customHeight="1" x14ac:dyDescent="0.3">
      <c r="A4" s="11" t="s">
        <v>61</v>
      </c>
      <c r="B4" s="11" t="s">
        <v>62</v>
      </c>
      <c r="C4" s="7" t="s">
        <v>44</v>
      </c>
      <c r="D4" s="8">
        <v>7.5636777877807617</v>
      </c>
      <c r="E4" s="7" t="s">
        <v>63</v>
      </c>
      <c r="F4" s="9">
        <v>130</v>
      </c>
      <c r="G4" s="7" t="s">
        <v>46</v>
      </c>
      <c r="H4" s="7" t="s">
        <v>47</v>
      </c>
      <c r="I4" s="7" t="s">
        <v>46</v>
      </c>
      <c r="J4" s="7" t="s">
        <v>48</v>
      </c>
      <c r="K4" s="7" t="s">
        <v>58</v>
      </c>
      <c r="L4" s="7" t="s">
        <v>59</v>
      </c>
      <c r="M4" s="10" t="s">
        <v>12</v>
      </c>
      <c r="N4" s="11" t="s">
        <v>51</v>
      </c>
      <c r="O4" s="11" t="s">
        <v>64</v>
      </c>
      <c r="P4" s="11" t="s">
        <v>53</v>
      </c>
      <c r="Q4" s="10"/>
      <c r="R4" s="10"/>
      <c r="S4" s="10"/>
      <c r="T4" s="10"/>
      <c r="U4" s="12"/>
    </row>
    <row r="5" spans="1:21" ht="54" customHeight="1" x14ac:dyDescent="0.3">
      <c r="A5" s="11" t="s">
        <v>65</v>
      </c>
      <c r="B5" s="11" t="s">
        <v>66</v>
      </c>
      <c r="C5" s="7" t="s">
        <v>44</v>
      </c>
      <c r="D5" s="8">
        <v>0.13052940368652344</v>
      </c>
      <c r="E5" s="7" t="s">
        <v>67</v>
      </c>
      <c r="F5" s="9">
        <v>6</v>
      </c>
      <c r="G5" s="7" t="s">
        <v>46</v>
      </c>
      <c r="H5" s="7" t="s">
        <v>47</v>
      </c>
      <c r="I5" s="7" t="s">
        <v>46</v>
      </c>
      <c r="J5" s="7" t="s">
        <v>48</v>
      </c>
      <c r="K5" s="7" t="s">
        <v>58</v>
      </c>
      <c r="L5" s="7" t="s">
        <v>59</v>
      </c>
      <c r="M5" s="10" t="s">
        <v>12</v>
      </c>
      <c r="N5" s="11" t="s">
        <v>51</v>
      </c>
      <c r="O5" s="11" t="s">
        <v>52</v>
      </c>
      <c r="P5" s="11" t="s">
        <v>53</v>
      </c>
      <c r="Q5" s="10"/>
      <c r="R5" s="10"/>
      <c r="S5" s="10"/>
      <c r="T5" s="10"/>
      <c r="U5" s="12"/>
    </row>
    <row r="6" spans="1:21" ht="54" customHeight="1" x14ac:dyDescent="0.3">
      <c r="A6" s="11" t="s">
        <v>68</v>
      </c>
      <c r="B6" s="11" t="s">
        <v>69</v>
      </c>
      <c r="C6" s="7" t="s">
        <v>44</v>
      </c>
      <c r="D6" s="8">
        <v>1.599452018737793</v>
      </c>
      <c r="E6" s="7" t="s">
        <v>70</v>
      </c>
      <c r="F6" s="9">
        <v>7</v>
      </c>
      <c r="G6" s="7" t="s">
        <v>46</v>
      </c>
      <c r="H6" s="7" t="s">
        <v>47</v>
      </c>
      <c r="I6" s="7" t="s">
        <v>46</v>
      </c>
      <c r="J6" s="7" t="s">
        <v>57</v>
      </c>
      <c r="K6" s="7" t="s">
        <v>58</v>
      </c>
      <c r="L6" s="7" t="s">
        <v>59</v>
      </c>
      <c r="M6" s="10" t="s">
        <v>12</v>
      </c>
      <c r="N6" s="11" t="s">
        <v>51</v>
      </c>
      <c r="O6" s="11" t="s">
        <v>60</v>
      </c>
      <c r="P6" s="11" t="s">
        <v>53</v>
      </c>
      <c r="Q6" s="10"/>
      <c r="R6" s="10"/>
      <c r="S6" s="10"/>
      <c r="T6" s="10"/>
      <c r="U6" s="12"/>
    </row>
    <row r="7" spans="1:21" ht="54" customHeight="1" x14ac:dyDescent="0.3">
      <c r="A7" s="11" t="s">
        <v>71</v>
      </c>
      <c r="B7" s="11" t="s">
        <v>72</v>
      </c>
      <c r="C7" s="7" t="s">
        <v>44</v>
      </c>
      <c r="D7" s="8">
        <v>1.1309738159179688</v>
      </c>
      <c r="E7" s="7" t="s">
        <v>73</v>
      </c>
      <c r="F7" s="9">
        <v>3</v>
      </c>
      <c r="G7" s="7" t="s">
        <v>46</v>
      </c>
      <c r="H7" s="7" t="s">
        <v>47</v>
      </c>
      <c r="I7" s="7" t="s">
        <v>46</v>
      </c>
      <c r="J7" s="7" t="s">
        <v>57</v>
      </c>
      <c r="K7" s="7" t="s">
        <v>74</v>
      </c>
      <c r="L7" s="7" t="s">
        <v>75</v>
      </c>
      <c r="M7" s="10" t="s">
        <v>12</v>
      </c>
      <c r="N7" s="11" t="s">
        <v>51</v>
      </c>
      <c r="O7" s="11" t="s">
        <v>76</v>
      </c>
      <c r="P7" s="11" t="s">
        <v>53</v>
      </c>
      <c r="Q7" s="10"/>
      <c r="R7" s="10"/>
      <c r="S7" s="10"/>
      <c r="T7" s="10"/>
      <c r="U7" s="12"/>
    </row>
    <row r="8" spans="1:21" ht="54" customHeight="1" x14ac:dyDescent="0.3">
      <c r="A8" s="11" t="s">
        <v>77</v>
      </c>
      <c r="B8" s="11" t="s">
        <v>78</v>
      </c>
      <c r="C8" s="7" t="s">
        <v>44</v>
      </c>
      <c r="D8" s="8">
        <v>3.0640554428100586</v>
      </c>
      <c r="E8" s="7" t="s">
        <v>79</v>
      </c>
      <c r="F8" s="9">
        <v>67</v>
      </c>
      <c r="G8" s="7" t="s">
        <v>46</v>
      </c>
      <c r="H8" s="7" t="s">
        <v>47</v>
      </c>
      <c r="I8" s="7" t="s">
        <v>46</v>
      </c>
      <c r="J8" s="7" t="s">
        <v>48</v>
      </c>
      <c r="K8" s="7" t="s">
        <v>80</v>
      </c>
      <c r="L8" s="7" t="s">
        <v>81</v>
      </c>
      <c r="M8" s="10" t="s">
        <v>12</v>
      </c>
      <c r="N8" s="11" t="s">
        <v>51</v>
      </c>
      <c r="O8" s="11" t="s">
        <v>64</v>
      </c>
      <c r="P8" s="11" t="s">
        <v>53</v>
      </c>
      <c r="Q8" s="10"/>
      <c r="R8" s="10"/>
      <c r="S8" s="10"/>
      <c r="T8" s="10"/>
      <c r="U8" s="12"/>
    </row>
    <row r="9" spans="1:21" ht="54" customHeight="1" x14ac:dyDescent="0.3">
      <c r="A9" s="11" t="s">
        <v>82</v>
      </c>
      <c r="B9" s="11" t="s">
        <v>83</v>
      </c>
      <c r="C9" s="7" t="s">
        <v>44</v>
      </c>
      <c r="D9" s="8">
        <v>1.4515285491943359</v>
      </c>
      <c r="E9" s="7" t="s">
        <v>84</v>
      </c>
      <c r="F9" s="9">
        <v>4</v>
      </c>
      <c r="G9" s="7" t="s">
        <v>46</v>
      </c>
      <c r="H9" s="7" t="s">
        <v>47</v>
      </c>
      <c r="I9" s="7" t="s">
        <v>46</v>
      </c>
      <c r="J9" s="7" t="s">
        <v>48</v>
      </c>
      <c r="K9" s="7" t="s">
        <v>85</v>
      </c>
      <c r="L9" s="7" t="s">
        <v>86</v>
      </c>
      <c r="M9" s="10" t="s">
        <v>12</v>
      </c>
      <c r="N9" s="11" t="s">
        <v>51</v>
      </c>
      <c r="O9" s="11" t="s">
        <v>52</v>
      </c>
      <c r="P9" s="11" t="s">
        <v>53</v>
      </c>
      <c r="Q9" s="10"/>
      <c r="R9" s="10"/>
      <c r="S9" s="10"/>
      <c r="T9" s="10"/>
      <c r="U9" s="12"/>
    </row>
    <row r="10" spans="1:21" ht="54" customHeight="1" x14ac:dyDescent="0.3">
      <c r="A10" s="11" t="s">
        <v>87</v>
      </c>
      <c r="B10" s="11" t="s">
        <v>88</v>
      </c>
      <c r="C10" s="7" t="s">
        <v>44</v>
      </c>
      <c r="D10" s="8">
        <v>1.6665821075439453</v>
      </c>
      <c r="E10" s="7" t="s">
        <v>89</v>
      </c>
      <c r="F10" s="9">
        <v>2</v>
      </c>
      <c r="G10" s="7" t="s">
        <v>46</v>
      </c>
      <c r="H10" s="7" t="s">
        <v>47</v>
      </c>
      <c r="I10" s="7" t="s">
        <v>46</v>
      </c>
      <c r="J10" s="7" t="s">
        <v>48</v>
      </c>
      <c r="K10" s="7" t="s">
        <v>85</v>
      </c>
      <c r="L10" s="7" t="s">
        <v>90</v>
      </c>
      <c r="M10" s="10" t="s">
        <v>12</v>
      </c>
      <c r="N10" s="11" t="s">
        <v>51</v>
      </c>
      <c r="O10" s="11" t="s">
        <v>52</v>
      </c>
      <c r="P10" s="11" t="s">
        <v>53</v>
      </c>
      <c r="Q10" s="10"/>
      <c r="R10" s="10"/>
      <c r="S10" s="10"/>
      <c r="T10" s="10"/>
      <c r="U10" s="12"/>
    </row>
    <row r="11" spans="1:21" ht="54" customHeight="1" x14ac:dyDescent="0.3">
      <c r="A11" s="11" t="s">
        <v>91</v>
      </c>
      <c r="B11" s="11" t="s">
        <v>92</v>
      </c>
      <c r="C11" s="7" t="s">
        <v>44</v>
      </c>
      <c r="D11" s="8">
        <v>20.424659729003906</v>
      </c>
      <c r="E11" s="7" t="s">
        <v>93</v>
      </c>
      <c r="F11" s="9">
        <v>87</v>
      </c>
      <c r="G11" s="7" t="s">
        <v>94</v>
      </c>
      <c r="H11" s="7" t="s">
        <v>95</v>
      </c>
      <c r="I11" s="7" t="s">
        <v>46</v>
      </c>
      <c r="J11" s="7" t="s">
        <v>48</v>
      </c>
      <c r="K11" s="7" t="s">
        <v>96</v>
      </c>
      <c r="L11" s="7" t="s">
        <v>97</v>
      </c>
      <c r="M11" s="10" t="s">
        <v>12</v>
      </c>
      <c r="N11" s="11" t="s">
        <v>98</v>
      </c>
      <c r="O11" s="11" t="s">
        <v>64</v>
      </c>
      <c r="P11" s="11" t="s">
        <v>99</v>
      </c>
      <c r="Q11" s="10"/>
      <c r="R11" s="10"/>
      <c r="S11" s="10"/>
      <c r="T11" s="10"/>
      <c r="U11" s="12"/>
    </row>
    <row r="12" spans="1:21" ht="54" customHeight="1" x14ac:dyDescent="0.3">
      <c r="A12" s="11" t="s">
        <v>100</v>
      </c>
      <c r="B12" s="11" t="s">
        <v>101</v>
      </c>
      <c r="C12" s="7" t="s">
        <v>44</v>
      </c>
      <c r="D12" s="8">
        <v>6.4470672607421875</v>
      </c>
      <c r="E12" s="7" t="s">
        <v>102</v>
      </c>
      <c r="F12" s="9">
        <v>92</v>
      </c>
      <c r="G12" s="7" t="s">
        <v>94</v>
      </c>
      <c r="H12" s="7" t="s">
        <v>95</v>
      </c>
      <c r="I12" s="7" t="s">
        <v>46</v>
      </c>
      <c r="J12" s="7" t="s">
        <v>48</v>
      </c>
      <c r="K12" s="7" t="s">
        <v>96</v>
      </c>
      <c r="L12" s="7" t="s">
        <v>103</v>
      </c>
      <c r="M12" s="10" t="s">
        <v>12</v>
      </c>
      <c r="N12" s="11" t="s">
        <v>98</v>
      </c>
      <c r="O12" s="11" t="s">
        <v>52</v>
      </c>
      <c r="P12" s="11" t="s">
        <v>99</v>
      </c>
      <c r="Q12" s="10"/>
      <c r="R12" s="10"/>
      <c r="S12" s="10"/>
      <c r="T12" s="10"/>
      <c r="U12" s="12"/>
    </row>
    <row r="13" spans="1:21" ht="54" customHeight="1" x14ac:dyDescent="0.3">
      <c r="A13" s="11" t="s">
        <v>104</v>
      </c>
      <c r="B13" s="11" t="s">
        <v>105</v>
      </c>
      <c r="C13" s="7" t="s">
        <v>44</v>
      </c>
      <c r="D13" s="8">
        <v>6.4470672607421875</v>
      </c>
      <c r="E13" s="7" t="s">
        <v>102</v>
      </c>
      <c r="F13" s="9">
        <v>92</v>
      </c>
      <c r="G13" s="7" t="s">
        <v>94</v>
      </c>
      <c r="H13" s="7" t="s">
        <v>95</v>
      </c>
      <c r="I13" s="7" t="s">
        <v>46</v>
      </c>
      <c r="J13" s="7" t="s">
        <v>48</v>
      </c>
      <c r="K13" s="7" t="s">
        <v>96</v>
      </c>
      <c r="L13" s="7" t="s">
        <v>103</v>
      </c>
      <c r="M13" s="10" t="s">
        <v>12</v>
      </c>
      <c r="N13" s="11" t="s">
        <v>106</v>
      </c>
      <c r="O13" s="11" t="s">
        <v>52</v>
      </c>
      <c r="P13" s="11" t="s">
        <v>107</v>
      </c>
      <c r="Q13" s="10"/>
      <c r="R13" s="10"/>
      <c r="S13" s="10"/>
      <c r="T13" s="10"/>
      <c r="U13" s="12"/>
    </row>
    <row r="14" spans="1:21" ht="54" customHeight="1" x14ac:dyDescent="0.3">
      <c r="A14" s="11" t="s">
        <v>108</v>
      </c>
      <c r="B14" s="11" t="s">
        <v>109</v>
      </c>
      <c r="C14" s="7" t="s">
        <v>44</v>
      </c>
      <c r="D14" s="8">
        <v>7.3810672760009766</v>
      </c>
      <c r="E14" s="7" t="s">
        <v>110</v>
      </c>
      <c r="F14" s="9">
        <v>92</v>
      </c>
      <c r="G14" s="7" t="s">
        <v>94</v>
      </c>
      <c r="H14" s="7" t="s">
        <v>95</v>
      </c>
      <c r="I14" s="7" t="s">
        <v>46</v>
      </c>
      <c r="J14" s="7" t="s">
        <v>57</v>
      </c>
      <c r="K14" s="7" t="s">
        <v>96</v>
      </c>
      <c r="L14" s="7" t="s">
        <v>111</v>
      </c>
      <c r="M14" s="10" t="s">
        <v>12</v>
      </c>
      <c r="N14" s="11" t="s">
        <v>98</v>
      </c>
      <c r="O14" s="11" t="s">
        <v>52</v>
      </c>
      <c r="P14" s="11" t="s">
        <v>99</v>
      </c>
      <c r="Q14" s="10"/>
      <c r="R14" s="10"/>
      <c r="S14" s="10"/>
      <c r="T14" s="10"/>
      <c r="U14" s="12"/>
    </row>
    <row r="15" spans="1:21" ht="54" customHeight="1" x14ac:dyDescent="0.3">
      <c r="A15" s="11" t="s">
        <v>112</v>
      </c>
      <c r="B15" s="11" t="s">
        <v>113</v>
      </c>
      <c r="C15" s="7" t="s">
        <v>44</v>
      </c>
      <c r="D15" s="8">
        <v>20.424659729003906</v>
      </c>
      <c r="E15" s="7" t="s">
        <v>93</v>
      </c>
      <c r="F15" s="9">
        <v>87</v>
      </c>
      <c r="G15" s="7" t="s">
        <v>94</v>
      </c>
      <c r="H15" s="7" t="s">
        <v>95</v>
      </c>
      <c r="I15" s="7" t="s">
        <v>46</v>
      </c>
      <c r="J15" s="7" t="s">
        <v>48</v>
      </c>
      <c r="K15" s="7" t="s">
        <v>96</v>
      </c>
      <c r="L15" s="7"/>
      <c r="M15" s="10" t="s">
        <v>12</v>
      </c>
      <c r="N15" s="11" t="s">
        <v>114</v>
      </c>
      <c r="O15" s="11" t="s">
        <v>60</v>
      </c>
      <c r="P15" s="11" t="s">
        <v>107</v>
      </c>
      <c r="Q15" s="10"/>
      <c r="R15" s="10"/>
      <c r="S15" s="10"/>
      <c r="T15" s="10"/>
      <c r="U15" s="12"/>
    </row>
    <row r="16" spans="1:21" ht="54" customHeight="1" x14ac:dyDescent="0.3">
      <c r="A16" s="11" t="s">
        <v>115</v>
      </c>
      <c r="B16" s="11" t="s">
        <v>116</v>
      </c>
      <c r="C16" s="7" t="s">
        <v>44</v>
      </c>
      <c r="D16" s="8">
        <v>4.0822181701660156</v>
      </c>
      <c r="E16" s="7" t="s">
        <v>117</v>
      </c>
      <c r="F16" s="9">
        <v>117</v>
      </c>
      <c r="G16" s="7" t="s">
        <v>94</v>
      </c>
      <c r="H16" s="7" t="s">
        <v>95</v>
      </c>
      <c r="I16" s="7" t="s">
        <v>46</v>
      </c>
      <c r="J16" s="7" t="s">
        <v>57</v>
      </c>
      <c r="K16" s="7" t="s">
        <v>118</v>
      </c>
      <c r="L16" s="7" t="s">
        <v>119</v>
      </c>
      <c r="M16" s="10" t="s">
        <v>12</v>
      </c>
      <c r="N16" s="11" t="s">
        <v>98</v>
      </c>
      <c r="O16" s="11" t="s">
        <v>76</v>
      </c>
      <c r="P16" s="11" t="s">
        <v>99</v>
      </c>
      <c r="Q16" s="10"/>
      <c r="R16" s="10"/>
      <c r="S16" s="10"/>
      <c r="T16" s="10"/>
      <c r="U16" s="12"/>
    </row>
    <row r="17" spans="1:21" ht="54" customHeight="1" x14ac:dyDescent="0.3">
      <c r="A17" s="11" t="s">
        <v>120</v>
      </c>
      <c r="B17" s="11" t="s">
        <v>121</v>
      </c>
      <c r="C17" s="7" t="s">
        <v>44</v>
      </c>
      <c r="D17" s="8">
        <v>1.9597911834716797</v>
      </c>
      <c r="E17" s="7" t="s">
        <v>122</v>
      </c>
      <c r="F17" s="9">
        <v>47</v>
      </c>
      <c r="G17" s="7" t="s">
        <v>46</v>
      </c>
      <c r="H17" s="7" t="s">
        <v>47</v>
      </c>
      <c r="I17" s="7" t="s">
        <v>46</v>
      </c>
      <c r="J17" s="7" t="s">
        <v>48</v>
      </c>
      <c r="K17" s="7" t="s">
        <v>123</v>
      </c>
      <c r="L17" s="7"/>
      <c r="M17" s="10" t="s">
        <v>12</v>
      </c>
      <c r="N17" s="11" t="s">
        <v>124</v>
      </c>
      <c r="O17" s="11" t="s">
        <v>52</v>
      </c>
      <c r="P17" s="11" t="s">
        <v>53</v>
      </c>
      <c r="Q17" s="10"/>
      <c r="R17" s="10"/>
      <c r="S17" s="10"/>
      <c r="T17" s="10"/>
      <c r="U17" s="12"/>
    </row>
    <row r="18" spans="1:21" ht="54" customHeight="1" x14ac:dyDescent="0.3">
      <c r="A18" s="11" t="s">
        <v>125</v>
      </c>
      <c r="B18" s="11" t="s">
        <v>126</v>
      </c>
      <c r="C18" s="7" t="s">
        <v>44</v>
      </c>
      <c r="D18" s="8">
        <v>0.36718845367431641</v>
      </c>
      <c r="E18" s="7" t="s">
        <v>127</v>
      </c>
      <c r="F18" s="9">
        <v>14</v>
      </c>
      <c r="G18" s="7" t="s">
        <v>46</v>
      </c>
      <c r="H18" s="7" t="s">
        <v>47</v>
      </c>
      <c r="I18" s="7" t="s">
        <v>46</v>
      </c>
      <c r="J18" s="7" t="s">
        <v>48</v>
      </c>
      <c r="K18" s="7" t="s">
        <v>123</v>
      </c>
      <c r="L18" s="7" t="s">
        <v>128</v>
      </c>
      <c r="M18" s="10" t="s">
        <v>12</v>
      </c>
      <c r="N18" s="11" t="s">
        <v>51</v>
      </c>
      <c r="O18" s="11" t="s">
        <v>64</v>
      </c>
      <c r="P18" s="11" t="s">
        <v>53</v>
      </c>
      <c r="Q18" s="10"/>
      <c r="R18" s="10"/>
      <c r="S18" s="10"/>
      <c r="T18" s="10"/>
      <c r="U18" s="12"/>
    </row>
    <row r="19" spans="1:21" ht="54" customHeight="1" x14ac:dyDescent="0.3">
      <c r="A19" s="11" t="s">
        <v>129</v>
      </c>
      <c r="B19" s="11" t="s">
        <v>130</v>
      </c>
      <c r="C19" s="7" t="s">
        <v>44</v>
      </c>
      <c r="D19" s="8">
        <v>3.6860904693603516</v>
      </c>
      <c r="E19" s="7" t="s">
        <v>131</v>
      </c>
      <c r="F19" s="9">
        <v>24</v>
      </c>
      <c r="G19" s="7" t="s">
        <v>46</v>
      </c>
      <c r="H19" s="7" t="s">
        <v>47</v>
      </c>
      <c r="I19" s="7" t="s">
        <v>46</v>
      </c>
      <c r="J19" s="7" t="s">
        <v>48</v>
      </c>
      <c r="K19" s="7" t="s">
        <v>123</v>
      </c>
      <c r="L19" s="7" t="s">
        <v>128</v>
      </c>
      <c r="M19" s="10" t="s">
        <v>12</v>
      </c>
      <c r="N19" s="11" t="s">
        <v>51</v>
      </c>
      <c r="O19" s="11" t="s">
        <v>64</v>
      </c>
      <c r="P19" s="11" t="s">
        <v>53</v>
      </c>
      <c r="Q19" s="10"/>
      <c r="R19" s="10"/>
      <c r="S19" s="10"/>
      <c r="T19" s="10"/>
      <c r="U19" s="12"/>
    </row>
    <row r="20" spans="1:21" ht="54" customHeight="1" x14ac:dyDescent="0.3">
      <c r="A20" s="11" t="s">
        <v>132</v>
      </c>
      <c r="B20" s="11" t="s">
        <v>133</v>
      </c>
      <c r="C20" s="7" t="s">
        <v>44</v>
      </c>
      <c r="D20" s="8">
        <v>0.77180385589599609</v>
      </c>
      <c r="E20" s="7" t="s">
        <v>134</v>
      </c>
      <c r="F20" s="9">
        <v>7</v>
      </c>
      <c r="G20" s="7" t="s">
        <v>46</v>
      </c>
      <c r="H20" s="7" t="s">
        <v>47</v>
      </c>
      <c r="I20" s="7" t="s">
        <v>46</v>
      </c>
      <c r="J20" s="7" t="s">
        <v>48</v>
      </c>
      <c r="K20" s="7" t="s">
        <v>123</v>
      </c>
      <c r="L20" s="7" t="s">
        <v>128</v>
      </c>
      <c r="M20" s="10" t="s">
        <v>12</v>
      </c>
      <c r="N20" s="11" t="s">
        <v>51</v>
      </c>
      <c r="O20" s="11" t="s">
        <v>64</v>
      </c>
      <c r="P20" s="11" t="s">
        <v>53</v>
      </c>
      <c r="Q20" s="10"/>
      <c r="R20" s="10"/>
      <c r="S20" s="10"/>
      <c r="T20" s="10"/>
      <c r="U20" s="12"/>
    </row>
    <row r="21" spans="1:21" ht="54" customHeight="1" x14ac:dyDescent="0.3">
      <c r="A21" s="11" t="s">
        <v>135</v>
      </c>
      <c r="B21" s="11" t="s">
        <v>136</v>
      </c>
      <c r="C21" s="7" t="s">
        <v>44</v>
      </c>
      <c r="D21" s="8">
        <v>1.6541471481323242</v>
      </c>
      <c r="E21" s="7" t="s">
        <v>137</v>
      </c>
      <c r="F21" s="9">
        <v>19</v>
      </c>
      <c r="G21" s="7" t="s">
        <v>46</v>
      </c>
      <c r="H21" s="7" t="s">
        <v>47</v>
      </c>
      <c r="I21" s="7" t="s">
        <v>46</v>
      </c>
      <c r="J21" s="7" t="s">
        <v>57</v>
      </c>
      <c r="K21" s="7" t="s">
        <v>138</v>
      </c>
      <c r="L21" s="7" t="s">
        <v>139</v>
      </c>
      <c r="M21" s="10" t="s">
        <v>12</v>
      </c>
      <c r="N21" s="11" t="s">
        <v>51</v>
      </c>
      <c r="O21" s="11" t="s">
        <v>60</v>
      </c>
      <c r="P21" s="11" t="s">
        <v>53</v>
      </c>
      <c r="Q21" s="10"/>
      <c r="R21" s="10"/>
      <c r="S21" s="10"/>
      <c r="T21" s="10"/>
      <c r="U21" s="12"/>
    </row>
    <row r="22" spans="1:21" ht="54" customHeight="1" x14ac:dyDescent="0.3">
      <c r="A22" s="11" t="s">
        <v>140</v>
      </c>
      <c r="B22" s="11" t="s">
        <v>141</v>
      </c>
      <c r="C22" s="7" t="s">
        <v>44</v>
      </c>
      <c r="D22" s="8">
        <v>2.6991291046142578</v>
      </c>
      <c r="E22" s="7" t="s">
        <v>142</v>
      </c>
      <c r="F22" s="9">
        <v>33</v>
      </c>
      <c r="G22" s="7" t="s">
        <v>46</v>
      </c>
      <c r="H22" s="7" t="s">
        <v>47</v>
      </c>
      <c r="I22" s="7" t="s">
        <v>46</v>
      </c>
      <c r="J22" s="7" t="s">
        <v>57</v>
      </c>
      <c r="K22" s="7" t="s">
        <v>138</v>
      </c>
      <c r="L22" s="7" t="s">
        <v>139</v>
      </c>
      <c r="M22" s="10" t="s">
        <v>12</v>
      </c>
      <c r="N22" s="11" t="s">
        <v>51</v>
      </c>
      <c r="O22" s="11" t="s">
        <v>60</v>
      </c>
      <c r="P22" s="11" t="s">
        <v>53</v>
      </c>
      <c r="Q22" s="10"/>
      <c r="R22" s="10"/>
      <c r="S22" s="10"/>
      <c r="T22" s="10"/>
      <c r="U22" s="12"/>
    </row>
    <row r="23" spans="1:21" ht="54" customHeight="1" x14ac:dyDescent="0.3">
      <c r="A23" s="11" t="s">
        <v>143</v>
      </c>
      <c r="B23" s="11" t="s">
        <v>144</v>
      </c>
      <c r="C23" s="7" t="s">
        <v>44</v>
      </c>
      <c r="D23" s="8">
        <v>0.16015434265136719</v>
      </c>
      <c r="E23" s="7" t="s">
        <v>145</v>
      </c>
      <c r="F23" s="9">
        <v>4</v>
      </c>
      <c r="G23" s="7" t="s">
        <v>46</v>
      </c>
      <c r="H23" s="7" t="s">
        <v>47</v>
      </c>
      <c r="I23" s="7" t="s">
        <v>46</v>
      </c>
      <c r="J23" s="7" t="s">
        <v>57</v>
      </c>
      <c r="K23" s="7" t="s">
        <v>138</v>
      </c>
      <c r="L23" s="7" t="s">
        <v>139</v>
      </c>
      <c r="M23" s="10" t="s">
        <v>12</v>
      </c>
      <c r="N23" s="11" t="s">
        <v>51</v>
      </c>
      <c r="O23" s="11" t="s">
        <v>60</v>
      </c>
      <c r="P23" s="11" t="s">
        <v>53</v>
      </c>
      <c r="Q23" s="10"/>
      <c r="R23" s="10"/>
      <c r="S23" s="10"/>
      <c r="T23" s="10"/>
      <c r="U23" s="12"/>
    </row>
    <row r="24" spans="1:21" ht="54" customHeight="1" x14ac:dyDescent="0.3">
      <c r="A24" s="11" t="s">
        <v>146</v>
      </c>
      <c r="B24" s="11" t="s">
        <v>147</v>
      </c>
      <c r="C24" s="7" t="s">
        <v>44</v>
      </c>
      <c r="D24" s="8">
        <v>0.77804660797119141</v>
      </c>
      <c r="E24" s="7" t="s">
        <v>148</v>
      </c>
      <c r="F24" s="9">
        <v>4</v>
      </c>
      <c r="G24" s="7" t="s">
        <v>46</v>
      </c>
      <c r="H24" s="7" t="s">
        <v>47</v>
      </c>
      <c r="I24" s="7" t="s">
        <v>46</v>
      </c>
      <c r="J24" s="7" t="s">
        <v>48</v>
      </c>
      <c r="K24" s="7" t="s">
        <v>138</v>
      </c>
      <c r="L24" s="7" t="s">
        <v>139</v>
      </c>
      <c r="M24" s="10" t="s">
        <v>12</v>
      </c>
      <c r="N24" s="11" t="s">
        <v>51</v>
      </c>
      <c r="O24" s="11" t="s">
        <v>60</v>
      </c>
      <c r="P24" s="11" t="s">
        <v>53</v>
      </c>
      <c r="Q24" s="10"/>
      <c r="R24" s="10"/>
      <c r="S24" s="10"/>
      <c r="T24" s="10"/>
      <c r="U24" s="12"/>
    </row>
    <row r="25" spans="1:21" ht="54" customHeight="1" x14ac:dyDescent="0.3">
      <c r="A25" s="11" t="s">
        <v>149</v>
      </c>
      <c r="B25" s="11" t="s">
        <v>150</v>
      </c>
      <c r="C25" s="7" t="s">
        <v>44</v>
      </c>
      <c r="D25" s="8">
        <v>0.18919754028320313</v>
      </c>
      <c r="E25" s="7" t="s">
        <v>151</v>
      </c>
      <c r="F25" s="9">
        <v>8</v>
      </c>
      <c r="G25" s="7" t="s">
        <v>46</v>
      </c>
      <c r="H25" s="7" t="s">
        <v>47</v>
      </c>
      <c r="I25" s="7" t="s">
        <v>47</v>
      </c>
      <c r="J25" s="7" t="s">
        <v>152</v>
      </c>
      <c r="K25" s="7" t="s">
        <v>138</v>
      </c>
      <c r="L25" s="7" t="s">
        <v>139</v>
      </c>
      <c r="M25" s="10" t="s">
        <v>12</v>
      </c>
      <c r="N25" s="11" t="s">
        <v>51</v>
      </c>
      <c r="O25" s="11" t="s">
        <v>60</v>
      </c>
      <c r="P25" s="11" t="s">
        <v>53</v>
      </c>
      <c r="Q25" s="10"/>
      <c r="R25" s="10"/>
      <c r="S25" s="10"/>
      <c r="T25" s="10"/>
      <c r="U25" s="12"/>
    </row>
    <row r="26" spans="1:21" ht="54" customHeight="1" x14ac:dyDescent="0.3">
      <c r="A26" s="11" t="s">
        <v>153</v>
      </c>
      <c r="B26" s="11" t="s">
        <v>154</v>
      </c>
      <c r="C26" s="7" t="s">
        <v>155</v>
      </c>
      <c r="D26" s="8">
        <v>1.70556640625</v>
      </c>
      <c r="E26" s="7" t="s">
        <v>156</v>
      </c>
      <c r="F26" s="9">
        <v>0</v>
      </c>
      <c r="G26" s="7" t="s">
        <v>47</v>
      </c>
      <c r="H26" s="7" t="s">
        <v>47</v>
      </c>
      <c r="I26" s="7" t="s">
        <v>47</v>
      </c>
      <c r="J26" s="7" t="s">
        <v>152</v>
      </c>
      <c r="K26" s="7" t="s">
        <v>138</v>
      </c>
      <c r="L26" s="7" t="s">
        <v>139</v>
      </c>
      <c r="M26" s="10" t="s">
        <v>12</v>
      </c>
      <c r="N26" s="11" t="s">
        <v>51</v>
      </c>
      <c r="O26" s="11" t="s">
        <v>60</v>
      </c>
      <c r="P26" s="11" t="s">
        <v>53</v>
      </c>
      <c r="Q26" s="10"/>
      <c r="R26" s="10"/>
      <c r="S26" s="10"/>
      <c r="T26" s="10"/>
      <c r="U26" s="12"/>
    </row>
    <row r="27" spans="1:21" ht="54" customHeight="1" x14ac:dyDescent="0.3">
      <c r="A27" s="11" t="s">
        <v>157</v>
      </c>
      <c r="B27" s="11" t="s">
        <v>158</v>
      </c>
      <c r="C27" s="7" t="s">
        <v>155</v>
      </c>
      <c r="D27" s="8">
        <v>4.046875</v>
      </c>
      <c r="E27" s="7" t="s">
        <v>159</v>
      </c>
      <c r="F27" s="9">
        <v>0</v>
      </c>
      <c r="G27" s="7" t="s">
        <v>47</v>
      </c>
      <c r="H27" s="7" t="s">
        <v>47</v>
      </c>
      <c r="I27" s="7" t="s">
        <v>47</v>
      </c>
      <c r="J27" s="7" t="s">
        <v>152</v>
      </c>
      <c r="K27" s="7" t="s">
        <v>138</v>
      </c>
      <c r="L27" s="7" t="s">
        <v>139</v>
      </c>
      <c r="M27" s="10" t="s">
        <v>12</v>
      </c>
      <c r="N27" s="11" t="s">
        <v>51</v>
      </c>
      <c r="O27" s="11" t="s">
        <v>60</v>
      </c>
      <c r="P27" s="11" t="s">
        <v>53</v>
      </c>
      <c r="Q27" s="10"/>
      <c r="R27" s="10"/>
      <c r="S27" s="10"/>
      <c r="T27" s="10"/>
      <c r="U27" s="12"/>
    </row>
    <row r="28" spans="1:21" ht="54" customHeight="1" x14ac:dyDescent="0.3">
      <c r="A28" s="11" t="s">
        <v>160</v>
      </c>
      <c r="B28" s="11" t="s">
        <v>161</v>
      </c>
      <c r="C28" s="7" t="s">
        <v>155</v>
      </c>
      <c r="D28" s="8">
        <v>14.45068359375</v>
      </c>
      <c r="E28" s="7" t="s">
        <v>162</v>
      </c>
      <c r="F28" s="9">
        <v>0</v>
      </c>
      <c r="G28" s="7" t="s">
        <v>47</v>
      </c>
      <c r="H28" s="7" t="s">
        <v>47</v>
      </c>
      <c r="I28" s="7" t="s">
        <v>47</v>
      </c>
      <c r="J28" s="7" t="s">
        <v>152</v>
      </c>
      <c r="K28" s="7" t="s">
        <v>138</v>
      </c>
      <c r="L28" s="7" t="s">
        <v>139</v>
      </c>
      <c r="M28" s="10" t="s">
        <v>12</v>
      </c>
      <c r="N28" s="11" t="s">
        <v>51</v>
      </c>
      <c r="O28" s="11" t="s">
        <v>60</v>
      </c>
      <c r="P28" s="11" t="s">
        <v>53</v>
      </c>
      <c r="Q28" s="10"/>
      <c r="R28" s="10"/>
      <c r="S28" s="10"/>
      <c r="T28" s="10"/>
      <c r="U28" s="12"/>
    </row>
    <row r="29" spans="1:21" ht="54" customHeight="1" x14ac:dyDescent="0.3">
      <c r="A29" s="11" t="s">
        <v>163</v>
      </c>
      <c r="B29" s="11" t="s">
        <v>164</v>
      </c>
      <c r="C29" s="7" t="s">
        <v>155</v>
      </c>
      <c r="D29" s="8">
        <v>3.11572265625</v>
      </c>
      <c r="E29" s="7" t="s">
        <v>165</v>
      </c>
      <c r="F29" s="9">
        <v>0</v>
      </c>
      <c r="G29" s="7" t="s">
        <v>47</v>
      </c>
      <c r="H29" s="7" t="s">
        <v>47</v>
      </c>
      <c r="I29" s="7" t="s">
        <v>47</v>
      </c>
      <c r="J29" s="7" t="s">
        <v>152</v>
      </c>
      <c r="K29" s="7" t="s">
        <v>138</v>
      </c>
      <c r="L29" s="7" t="s">
        <v>139</v>
      </c>
      <c r="M29" s="10" t="s">
        <v>12</v>
      </c>
      <c r="N29" s="11" t="s">
        <v>51</v>
      </c>
      <c r="O29" s="11" t="s">
        <v>60</v>
      </c>
      <c r="P29" s="11" t="s">
        <v>53</v>
      </c>
      <c r="Q29" s="10"/>
      <c r="R29" s="10"/>
      <c r="S29" s="10"/>
      <c r="T29" s="10"/>
      <c r="U29" s="12"/>
    </row>
    <row r="30" spans="1:21" ht="54" customHeight="1" x14ac:dyDescent="0.3">
      <c r="A30" s="11" t="s">
        <v>166</v>
      </c>
      <c r="B30" s="11" t="s">
        <v>167</v>
      </c>
      <c r="C30" s="7" t="s">
        <v>155</v>
      </c>
      <c r="D30" s="8">
        <v>12.7568359375</v>
      </c>
      <c r="E30" s="7" t="s">
        <v>168</v>
      </c>
      <c r="F30" s="9">
        <v>0</v>
      </c>
      <c r="G30" s="7" t="s">
        <v>47</v>
      </c>
      <c r="H30" s="7" t="s">
        <v>47</v>
      </c>
      <c r="I30" s="7" t="s">
        <v>47</v>
      </c>
      <c r="J30" s="7" t="s">
        <v>152</v>
      </c>
      <c r="K30" s="7" t="s">
        <v>138</v>
      </c>
      <c r="L30" s="7" t="s">
        <v>139</v>
      </c>
      <c r="M30" s="10" t="s">
        <v>12</v>
      </c>
      <c r="N30" s="11" t="s">
        <v>51</v>
      </c>
      <c r="O30" s="11" t="s">
        <v>60</v>
      </c>
      <c r="P30" s="11" t="s">
        <v>53</v>
      </c>
      <c r="Q30" s="10"/>
      <c r="R30" s="10"/>
      <c r="S30" s="10"/>
      <c r="T30" s="10"/>
      <c r="U30" s="12"/>
    </row>
    <row r="31" spans="1:21" ht="54" customHeight="1" x14ac:dyDescent="0.3">
      <c r="A31" s="11" t="s">
        <v>169</v>
      </c>
      <c r="B31" s="11" t="s">
        <v>170</v>
      </c>
      <c r="C31" s="7" t="s">
        <v>155</v>
      </c>
      <c r="D31" s="8">
        <v>5.89208984375</v>
      </c>
      <c r="E31" s="7" t="s">
        <v>171</v>
      </c>
      <c r="F31" s="9">
        <v>0</v>
      </c>
      <c r="G31" s="7" t="s">
        <v>47</v>
      </c>
      <c r="H31" s="7" t="s">
        <v>47</v>
      </c>
      <c r="I31" s="7" t="s">
        <v>47</v>
      </c>
      <c r="J31" s="7" t="s">
        <v>152</v>
      </c>
      <c r="K31" s="7" t="s">
        <v>138</v>
      </c>
      <c r="L31" s="7" t="s">
        <v>139</v>
      </c>
      <c r="M31" s="10" t="s">
        <v>12</v>
      </c>
      <c r="N31" s="11" t="s">
        <v>51</v>
      </c>
      <c r="O31" s="11" t="s">
        <v>60</v>
      </c>
      <c r="P31" s="11" t="s">
        <v>53</v>
      </c>
      <c r="Q31" s="10"/>
      <c r="R31" s="10"/>
      <c r="S31" s="10"/>
      <c r="T31" s="10"/>
      <c r="U31" s="12"/>
    </row>
    <row r="32" spans="1:21" ht="54" customHeight="1" x14ac:dyDescent="0.3">
      <c r="A32" s="11" t="s">
        <v>172</v>
      </c>
      <c r="B32" s="11" t="s">
        <v>173</v>
      </c>
      <c r="C32" s="7" t="s">
        <v>155</v>
      </c>
      <c r="D32" s="8">
        <v>5.48486328125</v>
      </c>
      <c r="E32" s="7" t="s">
        <v>174</v>
      </c>
      <c r="F32" s="9">
        <v>0</v>
      </c>
      <c r="G32" s="7" t="s">
        <v>47</v>
      </c>
      <c r="H32" s="7" t="s">
        <v>47</v>
      </c>
      <c r="I32" s="7" t="s">
        <v>47</v>
      </c>
      <c r="J32" s="7" t="s">
        <v>152</v>
      </c>
      <c r="K32" s="7" t="s">
        <v>138</v>
      </c>
      <c r="L32" s="7" t="s">
        <v>139</v>
      </c>
      <c r="M32" s="10" t="s">
        <v>12</v>
      </c>
      <c r="N32" s="11" t="s">
        <v>51</v>
      </c>
      <c r="O32" s="11" t="s">
        <v>60</v>
      </c>
      <c r="P32" s="11" t="s">
        <v>53</v>
      </c>
      <c r="Q32" s="10"/>
      <c r="R32" s="10"/>
      <c r="S32" s="10"/>
      <c r="T32" s="10"/>
      <c r="U32" s="12"/>
    </row>
    <row r="33" spans="1:21" ht="54" customHeight="1" x14ac:dyDescent="0.3">
      <c r="A33" s="11" t="s">
        <v>175</v>
      </c>
      <c r="B33" s="11" t="s">
        <v>176</v>
      </c>
      <c r="C33" s="7" t="s">
        <v>155</v>
      </c>
      <c r="D33" s="8">
        <v>2.4052734375</v>
      </c>
      <c r="E33" s="7" t="s">
        <v>177</v>
      </c>
      <c r="F33" s="9">
        <v>0</v>
      </c>
      <c r="G33" s="7" t="s">
        <v>47</v>
      </c>
      <c r="H33" s="7" t="s">
        <v>47</v>
      </c>
      <c r="I33" s="7" t="s">
        <v>47</v>
      </c>
      <c r="J33" s="7" t="s">
        <v>152</v>
      </c>
      <c r="K33" s="7" t="s">
        <v>138</v>
      </c>
      <c r="L33" s="7" t="s">
        <v>139</v>
      </c>
      <c r="M33" s="10" t="s">
        <v>12</v>
      </c>
      <c r="N33" s="11" t="s">
        <v>51</v>
      </c>
      <c r="O33" s="11" t="s">
        <v>60</v>
      </c>
      <c r="P33" s="11" t="s">
        <v>53</v>
      </c>
      <c r="Q33" s="10"/>
      <c r="R33" s="10"/>
      <c r="S33" s="10"/>
      <c r="T33" s="10"/>
      <c r="U33" s="12"/>
    </row>
    <row r="34" spans="1:21" ht="54" customHeight="1" x14ac:dyDescent="0.3">
      <c r="A34" s="11" t="s">
        <v>178</v>
      </c>
      <c r="B34" s="11" t="s">
        <v>179</v>
      </c>
      <c r="C34" s="7" t="s">
        <v>155</v>
      </c>
      <c r="D34" s="8">
        <v>2.326171875</v>
      </c>
      <c r="E34" s="7" t="s">
        <v>180</v>
      </c>
      <c r="F34" s="9">
        <v>0</v>
      </c>
      <c r="G34" s="7" t="s">
        <v>47</v>
      </c>
      <c r="H34" s="7" t="s">
        <v>47</v>
      </c>
      <c r="I34" s="7" t="s">
        <v>47</v>
      </c>
      <c r="J34" s="7" t="s">
        <v>152</v>
      </c>
      <c r="K34" s="7" t="s">
        <v>138</v>
      </c>
      <c r="L34" s="7" t="s">
        <v>139</v>
      </c>
      <c r="M34" s="10" t="s">
        <v>12</v>
      </c>
      <c r="N34" s="11" t="s">
        <v>51</v>
      </c>
      <c r="O34" s="11" t="s">
        <v>60</v>
      </c>
      <c r="P34" s="11" t="s">
        <v>53</v>
      </c>
      <c r="Q34" s="10"/>
      <c r="R34" s="10"/>
      <c r="S34" s="10"/>
      <c r="T34" s="10"/>
      <c r="U34" s="12"/>
    </row>
    <row r="35" spans="1:21" ht="54" customHeight="1" x14ac:dyDescent="0.3">
      <c r="A35" s="11" t="s">
        <v>181</v>
      </c>
      <c r="B35" s="11" t="s">
        <v>182</v>
      </c>
      <c r="C35" s="7" t="s">
        <v>155</v>
      </c>
      <c r="D35" s="8">
        <v>1.4833984375</v>
      </c>
      <c r="E35" s="7" t="s">
        <v>183</v>
      </c>
      <c r="F35" s="9">
        <v>0</v>
      </c>
      <c r="G35" s="7" t="s">
        <v>47</v>
      </c>
      <c r="H35" s="7" t="s">
        <v>47</v>
      </c>
      <c r="I35" s="7" t="s">
        <v>47</v>
      </c>
      <c r="J35" s="7" t="s">
        <v>152</v>
      </c>
      <c r="K35" s="7" t="s">
        <v>138</v>
      </c>
      <c r="L35" s="7" t="s">
        <v>139</v>
      </c>
      <c r="M35" s="10" t="s">
        <v>12</v>
      </c>
      <c r="N35" s="11" t="s">
        <v>51</v>
      </c>
      <c r="O35" s="11" t="s">
        <v>60</v>
      </c>
      <c r="P35" s="11" t="s">
        <v>53</v>
      </c>
      <c r="Q35" s="10"/>
      <c r="R35" s="10"/>
      <c r="S35" s="10"/>
      <c r="T35" s="10"/>
      <c r="U35" s="12"/>
    </row>
    <row r="36" spans="1:21" ht="54" customHeight="1" x14ac:dyDescent="0.3">
      <c r="A36" s="11" t="s">
        <v>184</v>
      </c>
      <c r="B36" s="11" t="s">
        <v>185</v>
      </c>
      <c r="C36" s="7" t="s">
        <v>155</v>
      </c>
      <c r="D36" s="8">
        <v>2.67138671875</v>
      </c>
      <c r="E36" s="7" t="s">
        <v>186</v>
      </c>
      <c r="F36" s="9">
        <v>0</v>
      </c>
      <c r="G36" s="7" t="s">
        <v>47</v>
      </c>
      <c r="H36" s="7" t="s">
        <v>47</v>
      </c>
      <c r="I36" s="7" t="s">
        <v>47</v>
      </c>
      <c r="J36" s="7" t="s">
        <v>152</v>
      </c>
      <c r="K36" s="7" t="s">
        <v>138</v>
      </c>
      <c r="L36" s="7" t="s">
        <v>139</v>
      </c>
      <c r="M36" s="10" t="s">
        <v>12</v>
      </c>
      <c r="N36" s="11" t="s">
        <v>51</v>
      </c>
      <c r="O36" s="11" t="s">
        <v>60</v>
      </c>
      <c r="P36" s="11" t="s">
        <v>53</v>
      </c>
      <c r="Q36" s="10"/>
      <c r="R36" s="10"/>
      <c r="S36" s="10"/>
      <c r="T36" s="10"/>
      <c r="U36" s="12"/>
    </row>
    <row r="37" spans="1:21" ht="54" customHeight="1" x14ac:dyDescent="0.3">
      <c r="A37" s="11" t="s">
        <v>187</v>
      </c>
      <c r="B37" s="11" t="s">
        <v>188</v>
      </c>
      <c r="C37" s="7" t="s">
        <v>155</v>
      </c>
      <c r="D37" s="8">
        <v>3.54150390625</v>
      </c>
      <c r="E37" s="7" t="s">
        <v>189</v>
      </c>
      <c r="F37" s="9">
        <v>0</v>
      </c>
      <c r="G37" s="7" t="s">
        <v>47</v>
      </c>
      <c r="H37" s="7" t="s">
        <v>47</v>
      </c>
      <c r="I37" s="7" t="s">
        <v>47</v>
      </c>
      <c r="J37" s="7" t="s">
        <v>152</v>
      </c>
      <c r="K37" s="7" t="s">
        <v>138</v>
      </c>
      <c r="L37" s="7" t="s">
        <v>139</v>
      </c>
      <c r="M37" s="10" t="s">
        <v>12</v>
      </c>
      <c r="N37" s="11" t="s">
        <v>51</v>
      </c>
      <c r="O37" s="11" t="s">
        <v>60</v>
      </c>
      <c r="P37" s="11" t="s">
        <v>53</v>
      </c>
      <c r="Q37" s="10"/>
      <c r="R37" s="10"/>
      <c r="S37" s="10"/>
      <c r="T37" s="10"/>
      <c r="U37" s="12"/>
    </row>
    <row r="38" spans="1:21" ht="54" customHeight="1" x14ac:dyDescent="0.3">
      <c r="A38" s="11" t="s">
        <v>190</v>
      </c>
      <c r="B38" s="11" t="s">
        <v>191</v>
      </c>
      <c r="C38" s="7" t="s">
        <v>155</v>
      </c>
      <c r="D38" s="8">
        <v>2.203125</v>
      </c>
      <c r="E38" s="7" t="s">
        <v>192</v>
      </c>
      <c r="F38" s="9">
        <v>0</v>
      </c>
      <c r="G38" s="7" t="s">
        <v>47</v>
      </c>
      <c r="H38" s="7" t="s">
        <v>47</v>
      </c>
      <c r="I38" s="7" t="s">
        <v>47</v>
      </c>
      <c r="J38" s="7" t="s">
        <v>152</v>
      </c>
      <c r="K38" s="7" t="s">
        <v>138</v>
      </c>
      <c r="L38" s="7" t="s">
        <v>139</v>
      </c>
      <c r="M38" s="10" t="s">
        <v>12</v>
      </c>
      <c r="N38" s="11" t="s">
        <v>51</v>
      </c>
      <c r="O38" s="11" t="s">
        <v>60</v>
      </c>
      <c r="P38" s="11" t="s">
        <v>53</v>
      </c>
      <c r="Q38" s="10"/>
      <c r="R38" s="10"/>
      <c r="S38" s="10"/>
      <c r="T38" s="10"/>
      <c r="U38" s="12"/>
    </row>
    <row r="39" spans="1:21" ht="54" customHeight="1" x14ac:dyDescent="0.3">
      <c r="A39" s="11" t="s">
        <v>193</v>
      </c>
      <c r="B39" s="11" t="s">
        <v>194</v>
      </c>
      <c r="C39" s="7" t="s">
        <v>155</v>
      </c>
      <c r="D39" s="8">
        <v>1.59423828125</v>
      </c>
      <c r="E39" s="7" t="s">
        <v>195</v>
      </c>
      <c r="F39" s="9">
        <v>0</v>
      </c>
      <c r="G39" s="7" t="s">
        <v>47</v>
      </c>
      <c r="H39" s="7" t="s">
        <v>47</v>
      </c>
      <c r="I39" s="7" t="s">
        <v>47</v>
      </c>
      <c r="J39" s="7" t="s">
        <v>152</v>
      </c>
      <c r="K39" s="7" t="s">
        <v>138</v>
      </c>
      <c r="L39" s="7" t="s">
        <v>139</v>
      </c>
      <c r="M39" s="10" t="s">
        <v>12</v>
      </c>
      <c r="N39" s="11" t="s">
        <v>51</v>
      </c>
      <c r="O39" s="11" t="s">
        <v>60</v>
      </c>
      <c r="P39" s="11" t="s">
        <v>53</v>
      </c>
      <c r="Q39" s="10"/>
      <c r="R39" s="10"/>
      <c r="S39" s="10"/>
      <c r="T39" s="10"/>
      <c r="U39" s="12"/>
    </row>
    <row r="40" spans="1:21" ht="54" customHeight="1" x14ac:dyDescent="0.3">
      <c r="A40" s="11" t="s">
        <v>196</v>
      </c>
      <c r="B40" s="11" t="s">
        <v>197</v>
      </c>
      <c r="C40" s="7" t="s">
        <v>155</v>
      </c>
      <c r="D40" s="8">
        <v>0.8447265625</v>
      </c>
      <c r="E40" s="7" t="s">
        <v>198</v>
      </c>
      <c r="F40" s="9">
        <v>0</v>
      </c>
      <c r="G40" s="7" t="s">
        <v>47</v>
      </c>
      <c r="H40" s="7" t="s">
        <v>47</v>
      </c>
      <c r="I40" s="7" t="s">
        <v>47</v>
      </c>
      <c r="J40" s="7" t="s">
        <v>152</v>
      </c>
      <c r="K40" s="7" t="s">
        <v>138</v>
      </c>
      <c r="L40" s="7" t="s">
        <v>139</v>
      </c>
      <c r="M40" s="10" t="s">
        <v>12</v>
      </c>
      <c r="N40" s="11" t="s">
        <v>51</v>
      </c>
      <c r="O40" s="11" t="s">
        <v>60</v>
      </c>
      <c r="P40" s="11" t="s">
        <v>53</v>
      </c>
      <c r="Q40" s="10"/>
      <c r="R40" s="10"/>
      <c r="S40" s="10"/>
      <c r="T40" s="10"/>
      <c r="U40" s="12"/>
    </row>
    <row r="41" spans="1:21" ht="54" customHeight="1" x14ac:dyDescent="0.3">
      <c r="A41" s="11" t="s">
        <v>199</v>
      </c>
      <c r="B41" s="11" t="s">
        <v>200</v>
      </c>
      <c r="C41" s="7" t="s">
        <v>155</v>
      </c>
      <c r="D41" s="8">
        <v>2.884765625</v>
      </c>
      <c r="E41" s="7" t="s">
        <v>201</v>
      </c>
      <c r="F41" s="9">
        <v>0</v>
      </c>
      <c r="G41" s="7" t="s">
        <v>47</v>
      </c>
      <c r="H41" s="7" t="s">
        <v>47</v>
      </c>
      <c r="I41" s="7" t="s">
        <v>47</v>
      </c>
      <c r="J41" s="7" t="s">
        <v>152</v>
      </c>
      <c r="K41" s="7" t="s">
        <v>138</v>
      </c>
      <c r="L41" s="7" t="s">
        <v>139</v>
      </c>
      <c r="M41" s="10" t="s">
        <v>12</v>
      </c>
      <c r="N41" s="11" t="s">
        <v>51</v>
      </c>
      <c r="O41" s="11" t="s">
        <v>60</v>
      </c>
      <c r="P41" s="11" t="s">
        <v>53</v>
      </c>
      <c r="Q41" s="10"/>
      <c r="R41" s="10"/>
      <c r="S41" s="10"/>
      <c r="T41" s="10"/>
      <c r="U41" s="12"/>
    </row>
    <row r="42" spans="1:21" ht="54" customHeight="1" x14ac:dyDescent="0.3">
      <c r="A42" s="11" t="s">
        <v>202</v>
      </c>
      <c r="B42" s="11" t="s">
        <v>203</v>
      </c>
      <c r="C42" s="7" t="s">
        <v>155</v>
      </c>
      <c r="D42" s="8">
        <v>2.431640625</v>
      </c>
      <c r="E42" s="7" t="s">
        <v>204</v>
      </c>
      <c r="F42" s="9">
        <v>0</v>
      </c>
      <c r="G42" s="7" t="s">
        <v>47</v>
      </c>
      <c r="H42" s="7" t="s">
        <v>47</v>
      </c>
      <c r="I42" s="7" t="s">
        <v>47</v>
      </c>
      <c r="J42" s="7" t="s">
        <v>152</v>
      </c>
      <c r="K42" s="7" t="s">
        <v>138</v>
      </c>
      <c r="L42" s="7" t="s">
        <v>139</v>
      </c>
      <c r="M42" s="10" t="s">
        <v>12</v>
      </c>
      <c r="N42" s="11" t="s">
        <v>51</v>
      </c>
      <c r="O42" s="11" t="s">
        <v>60</v>
      </c>
      <c r="P42" s="11" t="s">
        <v>53</v>
      </c>
      <c r="Q42" s="10"/>
      <c r="R42" s="10"/>
      <c r="S42" s="10"/>
      <c r="T42" s="10"/>
      <c r="U42" s="12"/>
    </row>
    <row r="43" spans="1:21" ht="54" customHeight="1" x14ac:dyDescent="0.3">
      <c r="A43" s="11" t="s">
        <v>205</v>
      </c>
      <c r="B43" s="11" t="s">
        <v>206</v>
      </c>
      <c r="C43" s="7" t="s">
        <v>155</v>
      </c>
      <c r="D43" s="8">
        <v>2.4541015625</v>
      </c>
      <c r="E43" s="7" t="s">
        <v>207</v>
      </c>
      <c r="F43" s="9">
        <v>0</v>
      </c>
      <c r="G43" s="7" t="s">
        <v>47</v>
      </c>
      <c r="H43" s="7" t="s">
        <v>47</v>
      </c>
      <c r="I43" s="7" t="s">
        <v>47</v>
      </c>
      <c r="J43" s="7" t="s">
        <v>152</v>
      </c>
      <c r="K43" s="7" t="s">
        <v>138</v>
      </c>
      <c r="L43" s="7" t="s">
        <v>139</v>
      </c>
      <c r="M43" s="10" t="s">
        <v>12</v>
      </c>
      <c r="N43" s="11" t="s">
        <v>51</v>
      </c>
      <c r="O43" s="11" t="s">
        <v>60</v>
      </c>
      <c r="P43" s="11" t="s">
        <v>53</v>
      </c>
      <c r="Q43" s="10"/>
      <c r="R43" s="10"/>
      <c r="S43" s="10"/>
      <c r="T43" s="10"/>
      <c r="U43" s="12"/>
    </row>
    <row r="44" spans="1:21" ht="54" customHeight="1" x14ac:dyDescent="0.3">
      <c r="A44" s="11" t="s">
        <v>208</v>
      </c>
      <c r="B44" s="11" t="s">
        <v>209</v>
      </c>
      <c r="C44" s="7" t="s">
        <v>155</v>
      </c>
      <c r="D44" s="8">
        <v>2.54541015625</v>
      </c>
      <c r="E44" s="7" t="s">
        <v>210</v>
      </c>
      <c r="F44" s="9">
        <v>0</v>
      </c>
      <c r="G44" s="7" t="s">
        <v>47</v>
      </c>
      <c r="H44" s="7" t="s">
        <v>47</v>
      </c>
      <c r="I44" s="7" t="s">
        <v>47</v>
      </c>
      <c r="J44" s="7" t="s">
        <v>152</v>
      </c>
      <c r="K44" s="7" t="s">
        <v>138</v>
      </c>
      <c r="L44" s="7" t="s">
        <v>139</v>
      </c>
      <c r="M44" s="10" t="s">
        <v>12</v>
      </c>
      <c r="N44" s="11" t="s">
        <v>51</v>
      </c>
      <c r="O44" s="11" t="s">
        <v>60</v>
      </c>
      <c r="P44" s="11" t="s">
        <v>53</v>
      </c>
      <c r="Q44" s="10"/>
      <c r="R44" s="10"/>
      <c r="S44" s="10"/>
      <c r="T44" s="10"/>
      <c r="U44" s="12"/>
    </row>
    <row r="45" spans="1:21" ht="54" customHeight="1" x14ac:dyDescent="0.3">
      <c r="A45" s="11" t="s">
        <v>211</v>
      </c>
      <c r="B45" s="11" t="s">
        <v>212</v>
      </c>
      <c r="C45" s="7" t="s">
        <v>155</v>
      </c>
      <c r="D45" s="8">
        <v>1.4580078125</v>
      </c>
      <c r="E45" s="7" t="s">
        <v>213</v>
      </c>
      <c r="F45" s="9">
        <v>0</v>
      </c>
      <c r="G45" s="7" t="s">
        <v>47</v>
      </c>
      <c r="H45" s="7" t="s">
        <v>47</v>
      </c>
      <c r="I45" s="7" t="s">
        <v>47</v>
      </c>
      <c r="J45" s="7" t="s">
        <v>152</v>
      </c>
      <c r="K45" s="7" t="s">
        <v>138</v>
      </c>
      <c r="L45" s="7" t="s">
        <v>139</v>
      </c>
      <c r="M45" s="10" t="s">
        <v>12</v>
      </c>
      <c r="N45" s="11" t="s">
        <v>51</v>
      </c>
      <c r="O45" s="11" t="s">
        <v>60</v>
      </c>
      <c r="P45" s="11" t="s">
        <v>53</v>
      </c>
      <c r="Q45" s="10"/>
      <c r="R45" s="10"/>
      <c r="S45" s="10"/>
      <c r="T45" s="10"/>
      <c r="U45" s="12"/>
    </row>
    <row r="46" spans="1:21" ht="54" customHeight="1" x14ac:dyDescent="0.3">
      <c r="A46" s="11" t="s">
        <v>214</v>
      </c>
      <c r="B46" s="11" t="s">
        <v>215</v>
      </c>
      <c r="C46" s="7" t="s">
        <v>155</v>
      </c>
      <c r="D46" s="8">
        <v>2.13525390625</v>
      </c>
      <c r="E46" s="7" t="s">
        <v>216</v>
      </c>
      <c r="F46" s="9">
        <v>0</v>
      </c>
      <c r="G46" s="7" t="s">
        <v>47</v>
      </c>
      <c r="H46" s="7" t="s">
        <v>47</v>
      </c>
      <c r="I46" s="7" t="s">
        <v>47</v>
      </c>
      <c r="J46" s="7" t="s">
        <v>152</v>
      </c>
      <c r="K46" s="7" t="s">
        <v>138</v>
      </c>
      <c r="L46" s="7" t="s">
        <v>139</v>
      </c>
      <c r="M46" s="10" t="s">
        <v>12</v>
      </c>
      <c r="N46" s="11" t="s">
        <v>51</v>
      </c>
      <c r="O46" s="11" t="s">
        <v>60</v>
      </c>
      <c r="P46" s="11" t="s">
        <v>53</v>
      </c>
      <c r="Q46" s="10"/>
      <c r="R46" s="10"/>
      <c r="S46" s="10"/>
      <c r="T46" s="10"/>
      <c r="U46" s="12"/>
    </row>
    <row r="47" spans="1:21" ht="54" customHeight="1" x14ac:dyDescent="0.3">
      <c r="A47" s="11" t="s">
        <v>217</v>
      </c>
      <c r="B47" s="11" t="s">
        <v>218</v>
      </c>
      <c r="C47" s="7" t="s">
        <v>219</v>
      </c>
      <c r="D47" s="8">
        <v>0.265625</v>
      </c>
      <c r="E47" s="7" t="s">
        <v>220</v>
      </c>
      <c r="F47" s="9">
        <v>0</v>
      </c>
      <c r="G47" s="7" t="s">
        <v>47</v>
      </c>
      <c r="H47" s="7" t="s">
        <v>47</v>
      </c>
      <c r="I47" s="7" t="s">
        <v>47</v>
      </c>
      <c r="J47" s="7" t="s">
        <v>152</v>
      </c>
      <c r="K47" s="7" t="s">
        <v>138</v>
      </c>
      <c r="L47" s="7" t="s">
        <v>139</v>
      </c>
      <c r="M47" s="10" t="s">
        <v>12</v>
      </c>
      <c r="N47" s="11" t="s">
        <v>51</v>
      </c>
      <c r="O47" s="11" t="s">
        <v>60</v>
      </c>
      <c r="P47" s="11" t="s">
        <v>53</v>
      </c>
      <c r="Q47" s="10"/>
      <c r="R47" s="10"/>
      <c r="S47" s="10"/>
      <c r="T47" s="10"/>
      <c r="U47" s="12"/>
    </row>
    <row r="48" spans="1:21" ht="54" customHeight="1" x14ac:dyDescent="0.3">
      <c r="A48" s="11" t="s">
        <v>221</v>
      </c>
      <c r="B48" s="11" t="s">
        <v>222</v>
      </c>
      <c r="C48" s="7" t="s">
        <v>44</v>
      </c>
      <c r="D48" s="8">
        <v>3.3000526428222656</v>
      </c>
      <c r="E48" s="7" t="s">
        <v>223</v>
      </c>
      <c r="F48" s="9">
        <v>8</v>
      </c>
      <c r="G48" s="7" t="s">
        <v>46</v>
      </c>
      <c r="H48" s="7" t="s">
        <v>47</v>
      </c>
      <c r="I48" s="7" t="s">
        <v>46</v>
      </c>
      <c r="J48" s="7" t="s">
        <v>48</v>
      </c>
      <c r="K48" s="7" t="s">
        <v>138</v>
      </c>
      <c r="L48" s="7" t="s">
        <v>139</v>
      </c>
      <c r="M48" s="10" t="s">
        <v>12</v>
      </c>
      <c r="N48" s="11" t="s">
        <v>51</v>
      </c>
      <c r="O48" s="11" t="s">
        <v>224</v>
      </c>
      <c r="P48" s="11" t="s">
        <v>53</v>
      </c>
      <c r="Q48" s="10"/>
      <c r="R48" s="10"/>
      <c r="S48" s="10"/>
      <c r="T48" s="10"/>
      <c r="U48" s="12"/>
    </row>
    <row r="49" spans="1:21" ht="54" customHeight="1" x14ac:dyDescent="0.3">
      <c r="A49" s="11" t="s">
        <v>225</v>
      </c>
      <c r="B49" s="11" t="s">
        <v>226</v>
      </c>
      <c r="C49" s="7" t="s">
        <v>44</v>
      </c>
      <c r="D49" s="8">
        <v>0.28676986694335938</v>
      </c>
      <c r="E49" s="7" t="s">
        <v>227</v>
      </c>
      <c r="F49" s="9">
        <v>4</v>
      </c>
      <c r="G49" s="7" t="s">
        <v>46</v>
      </c>
      <c r="H49" s="7" t="s">
        <v>47</v>
      </c>
      <c r="I49" s="7" t="s">
        <v>46</v>
      </c>
      <c r="J49" s="7" t="s">
        <v>48</v>
      </c>
      <c r="K49" s="7" t="s">
        <v>138</v>
      </c>
      <c r="L49" s="7" t="s">
        <v>139</v>
      </c>
      <c r="M49" s="10" t="s">
        <v>12</v>
      </c>
      <c r="N49" s="11" t="s">
        <v>51</v>
      </c>
      <c r="O49" s="11" t="s">
        <v>224</v>
      </c>
      <c r="P49" s="11" t="s">
        <v>53</v>
      </c>
      <c r="Q49" s="10"/>
      <c r="R49" s="10"/>
      <c r="S49" s="10"/>
      <c r="T49" s="10"/>
      <c r="U49" s="12"/>
    </row>
    <row r="50" spans="1:21" ht="54" customHeight="1" x14ac:dyDescent="0.3">
      <c r="A50" s="11" t="s">
        <v>228</v>
      </c>
      <c r="B50" s="11" t="s">
        <v>229</v>
      </c>
      <c r="C50" s="7" t="s">
        <v>44</v>
      </c>
      <c r="D50" s="8">
        <v>0.34438800811767578</v>
      </c>
      <c r="E50" s="7" t="s">
        <v>230</v>
      </c>
      <c r="F50" s="9">
        <v>2</v>
      </c>
      <c r="G50" s="7" t="s">
        <v>46</v>
      </c>
      <c r="H50" s="7" t="s">
        <v>47</v>
      </c>
      <c r="I50" s="7" t="s">
        <v>46</v>
      </c>
      <c r="J50" s="7" t="s">
        <v>57</v>
      </c>
      <c r="K50" s="7" t="s">
        <v>138</v>
      </c>
      <c r="L50" s="7" t="s">
        <v>139</v>
      </c>
      <c r="M50" s="10" t="s">
        <v>12</v>
      </c>
      <c r="N50" s="11" t="s">
        <v>51</v>
      </c>
      <c r="O50" s="11" t="s">
        <v>224</v>
      </c>
      <c r="P50" s="11" t="s">
        <v>53</v>
      </c>
      <c r="Q50" s="10"/>
      <c r="R50" s="10"/>
      <c r="S50" s="10"/>
      <c r="T50" s="10"/>
      <c r="U50" s="12"/>
    </row>
    <row r="51" spans="1:21" ht="54" customHeight="1" x14ac:dyDescent="0.3">
      <c r="A51" s="11" t="s">
        <v>231</v>
      </c>
      <c r="B51" s="11" t="s">
        <v>232</v>
      </c>
      <c r="C51" s="7" t="s">
        <v>44</v>
      </c>
      <c r="D51" s="8">
        <v>0.28570365905761719</v>
      </c>
      <c r="E51" s="7" t="s">
        <v>233</v>
      </c>
      <c r="F51" s="9">
        <v>2</v>
      </c>
      <c r="G51" s="7" t="s">
        <v>46</v>
      </c>
      <c r="H51" s="7" t="s">
        <v>47</v>
      </c>
      <c r="I51" s="7" t="s">
        <v>46</v>
      </c>
      <c r="J51" s="7" t="s">
        <v>48</v>
      </c>
      <c r="K51" s="7" t="s">
        <v>138</v>
      </c>
      <c r="L51" s="7" t="s">
        <v>139</v>
      </c>
      <c r="M51" s="10" t="s">
        <v>12</v>
      </c>
      <c r="N51" s="11" t="s">
        <v>51</v>
      </c>
      <c r="O51" s="11" t="s">
        <v>224</v>
      </c>
      <c r="P51" s="11" t="s">
        <v>53</v>
      </c>
      <c r="Q51" s="10"/>
      <c r="R51" s="10"/>
      <c r="S51" s="10"/>
      <c r="T51" s="10"/>
      <c r="U51" s="12"/>
    </row>
    <row r="52" spans="1:21" ht="54" customHeight="1" x14ac:dyDescent="0.3">
      <c r="A52" s="11" t="s">
        <v>234</v>
      </c>
      <c r="B52" s="11" t="s">
        <v>235</v>
      </c>
      <c r="C52" s="7" t="s">
        <v>44</v>
      </c>
      <c r="D52" s="8">
        <v>0.68443202972412109</v>
      </c>
      <c r="E52" s="7" t="s">
        <v>236</v>
      </c>
      <c r="F52" s="9">
        <v>1</v>
      </c>
      <c r="G52" s="7" t="s">
        <v>46</v>
      </c>
      <c r="H52" s="7" t="s">
        <v>47</v>
      </c>
      <c r="I52" s="7" t="s">
        <v>46</v>
      </c>
      <c r="J52" s="7" t="s">
        <v>48</v>
      </c>
      <c r="K52" s="7" t="s">
        <v>138</v>
      </c>
      <c r="L52" s="7" t="s">
        <v>139</v>
      </c>
      <c r="M52" s="10" t="s">
        <v>12</v>
      </c>
      <c r="N52" s="11" t="s">
        <v>51</v>
      </c>
      <c r="O52" s="11" t="s">
        <v>224</v>
      </c>
      <c r="P52" s="11" t="s">
        <v>53</v>
      </c>
      <c r="Q52" s="10"/>
      <c r="R52" s="10"/>
      <c r="S52" s="10"/>
      <c r="T52" s="10"/>
      <c r="U52" s="12"/>
    </row>
    <row r="53" spans="1:21" ht="54" customHeight="1" x14ac:dyDescent="0.3">
      <c r="A53" s="11" t="s">
        <v>237</v>
      </c>
      <c r="B53" s="11" t="s">
        <v>238</v>
      </c>
      <c r="C53" s="7" t="s">
        <v>239</v>
      </c>
      <c r="D53" s="8">
        <v>25.56126594543457</v>
      </c>
      <c r="E53" s="7" t="s">
        <v>240</v>
      </c>
      <c r="F53" s="9">
        <v>0</v>
      </c>
      <c r="G53" s="7" t="s">
        <v>47</v>
      </c>
      <c r="H53" s="7" t="s">
        <v>47</v>
      </c>
      <c r="I53" s="7" t="s">
        <v>47</v>
      </c>
      <c r="J53" s="7" t="s">
        <v>152</v>
      </c>
      <c r="K53" s="7" t="s">
        <v>138</v>
      </c>
      <c r="L53" s="7" t="s">
        <v>139</v>
      </c>
      <c r="M53" s="10" t="s">
        <v>12</v>
      </c>
      <c r="N53" s="11" t="s">
        <v>241</v>
      </c>
      <c r="O53" s="11" t="s">
        <v>60</v>
      </c>
      <c r="P53" s="11" t="s">
        <v>53</v>
      </c>
      <c r="Q53" s="10"/>
      <c r="R53" s="10"/>
      <c r="S53" s="10"/>
      <c r="T53" s="10"/>
      <c r="U53" s="12"/>
    </row>
    <row r="54" spans="1:21" ht="54" customHeight="1" x14ac:dyDescent="0.3">
      <c r="A54" s="11" t="s">
        <v>242</v>
      </c>
      <c r="B54" s="11" t="s">
        <v>243</v>
      </c>
      <c r="C54" s="7" t="s">
        <v>244</v>
      </c>
      <c r="D54" s="8">
        <v>18.934853553771973</v>
      </c>
      <c r="E54" s="7" t="s">
        <v>245</v>
      </c>
      <c r="F54" s="9">
        <v>0</v>
      </c>
      <c r="G54" s="7" t="s">
        <v>47</v>
      </c>
      <c r="H54" s="7" t="s">
        <v>47</v>
      </c>
      <c r="I54" s="7" t="s">
        <v>47</v>
      </c>
      <c r="J54" s="7" t="s">
        <v>152</v>
      </c>
      <c r="K54" s="7" t="s">
        <v>138</v>
      </c>
      <c r="L54" s="7" t="s">
        <v>139</v>
      </c>
      <c r="M54" s="10" t="s">
        <v>12</v>
      </c>
      <c r="N54" s="11" t="s">
        <v>241</v>
      </c>
      <c r="O54" s="11" t="s">
        <v>60</v>
      </c>
      <c r="P54" s="11" t="s">
        <v>53</v>
      </c>
      <c r="Q54" s="10"/>
      <c r="R54" s="10"/>
      <c r="S54" s="10"/>
      <c r="T54" s="10"/>
      <c r="U54" s="12"/>
    </row>
    <row r="55" spans="1:21" ht="54" customHeight="1" x14ac:dyDescent="0.3">
      <c r="A55" s="11" t="s">
        <v>246</v>
      </c>
      <c r="B55" s="11" t="s">
        <v>247</v>
      </c>
      <c r="C55" s="7" t="s">
        <v>155</v>
      </c>
      <c r="D55" s="8">
        <v>7.46630859375</v>
      </c>
      <c r="E55" s="7" t="s">
        <v>248</v>
      </c>
      <c r="F55" s="9">
        <v>0</v>
      </c>
      <c r="G55" s="7" t="s">
        <v>47</v>
      </c>
      <c r="H55" s="7" t="s">
        <v>47</v>
      </c>
      <c r="I55" s="7" t="s">
        <v>47</v>
      </c>
      <c r="J55" s="7" t="s">
        <v>152</v>
      </c>
      <c r="K55" s="7" t="s">
        <v>138</v>
      </c>
      <c r="L55" s="7" t="s">
        <v>139</v>
      </c>
      <c r="M55" s="10" t="s">
        <v>12</v>
      </c>
      <c r="N55" s="11" t="s">
        <v>51</v>
      </c>
      <c r="O55" s="11" t="s">
        <v>60</v>
      </c>
      <c r="P55" s="11" t="s">
        <v>53</v>
      </c>
      <c r="Q55" s="10"/>
      <c r="R55" s="10"/>
      <c r="S55" s="10"/>
      <c r="T55" s="10"/>
      <c r="U55" s="12"/>
    </row>
    <row r="56" spans="1:21" ht="54" customHeight="1" x14ac:dyDescent="0.3">
      <c r="A56" s="11" t="s">
        <v>249</v>
      </c>
      <c r="B56" s="11" t="s">
        <v>250</v>
      </c>
      <c r="C56" s="7" t="s">
        <v>155</v>
      </c>
      <c r="D56" s="8">
        <v>0.72412109375</v>
      </c>
      <c r="E56" s="7" t="s">
        <v>251</v>
      </c>
      <c r="F56" s="9">
        <v>0</v>
      </c>
      <c r="G56" s="7" t="s">
        <v>47</v>
      </c>
      <c r="H56" s="7" t="s">
        <v>47</v>
      </c>
      <c r="I56" s="7" t="s">
        <v>47</v>
      </c>
      <c r="J56" s="7" t="s">
        <v>152</v>
      </c>
      <c r="K56" s="7" t="s">
        <v>138</v>
      </c>
      <c r="L56" s="7" t="s">
        <v>139</v>
      </c>
      <c r="M56" s="10" t="s">
        <v>12</v>
      </c>
      <c r="N56" s="11" t="s">
        <v>51</v>
      </c>
      <c r="O56" s="11" t="s">
        <v>60</v>
      </c>
      <c r="P56" s="11" t="s">
        <v>53</v>
      </c>
      <c r="Q56" s="10"/>
      <c r="R56" s="10"/>
      <c r="S56" s="10"/>
      <c r="T56" s="10"/>
      <c r="U56" s="12"/>
    </row>
    <row r="57" spans="1:21" ht="54" customHeight="1" x14ac:dyDescent="0.3">
      <c r="A57" s="11" t="s">
        <v>252</v>
      </c>
      <c r="B57" s="11" t="s">
        <v>253</v>
      </c>
      <c r="C57" s="7" t="s">
        <v>155</v>
      </c>
      <c r="D57" s="8">
        <v>8.720703125</v>
      </c>
      <c r="E57" s="7" t="s">
        <v>254</v>
      </c>
      <c r="F57" s="9">
        <v>0</v>
      </c>
      <c r="G57" s="7" t="s">
        <v>47</v>
      </c>
      <c r="H57" s="7" t="s">
        <v>47</v>
      </c>
      <c r="I57" s="7" t="s">
        <v>47</v>
      </c>
      <c r="J57" s="7" t="s">
        <v>152</v>
      </c>
      <c r="K57" s="7" t="s">
        <v>138</v>
      </c>
      <c r="L57" s="7" t="s">
        <v>139</v>
      </c>
      <c r="M57" s="10" t="s">
        <v>12</v>
      </c>
      <c r="N57" s="11" t="s">
        <v>51</v>
      </c>
      <c r="O57" s="11" t="s">
        <v>60</v>
      </c>
      <c r="P57" s="11" t="s">
        <v>53</v>
      </c>
      <c r="Q57" s="10"/>
      <c r="R57" s="10"/>
      <c r="S57" s="10"/>
      <c r="T57" s="10"/>
      <c r="U57" s="12"/>
    </row>
    <row r="58" spans="1:21" ht="54" customHeight="1" x14ac:dyDescent="0.3">
      <c r="A58" s="11" t="s">
        <v>255</v>
      </c>
      <c r="B58" s="11" t="s">
        <v>256</v>
      </c>
      <c r="C58" s="7" t="s">
        <v>155</v>
      </c>
      <c r="D58" s="8">
        <v>4.95703125</v>
      </c>
      <c r="E58" s="7" t="s">
        <v>257</v>
      </c>
      <c r="F58" s="9">
        <v>0</v>
      </c>
      <c r="G58" s="7" t="s">
        <v>47</v>
      </c>
      <c r="H58" s="7" t="s">
        <v>47</v>
      </c>
      <c r="I58" s="7" t="s">
        <v>47</v>
      </c>
      <c r="J58" s="7" t="s">
        <v>152</v>
      </c>
      <c r="K58" s="7" t="s">
        <v>138</v>
      </c>
      <c r="L58" s="7" t="s">
        <v>139</v>
      </c>
      <c r="M58" s="10" t="s">
        <v>12</v>
      </c>
      <c r="N58" s="11" t="s">
        <v>51</v>
      </c>
      <c r="O58" s="11" t="s">
        <v>60</v>
      </c>
      <c r="P58" s="11" t="s">
        <v>53</v>
      </c>
      <c r="Q58" s="10"/>
      <c r="R58" s="10"/>
      <c r="S58" s="10"/>
      <c r="T58" s="10"/>
      <c r="U58" s="12"/>
    </row>
    <row r="59" spans="1:21" ht="54" customHeight="1" x14ac:dyDescent="0.3">
      <c r="A59" s="11" t="s">
        <v>258</v>
      </c>
      <c r="B59" s="11" t="s">
        <v>259</v>
      </c>
      <c r="C59" s="7" t="s">
        <v>155</v>
      </c>
      <c r="D59" s="8">
        <v>3.03759765625</v>
      </c>
      <c r="E59" s="7" t="s">
        <v>260</v>
      </c>
      <c r="F59" s="9">
        <v>0</v>
      </c>
      <c r="G59" s="7" t="s">
        <v>47</v>
      </c>
      <c r="H59" s="7" t="s">
        <v>47</v>
      </c>
      <c r="I59" s="7" t="s">
        <v>47</v>
      </c>
      <c r="J59" s="7" t="s">
        <v>152</v>
      </c>
      <c r="K59" s="7" t="s">
        <v>138</v>
      </c>
      <c r="L59" s="7" t="s">
        <v>139</v>
      </c>
      <c r="M59" s="10" t="s">
        <v>12</v>
      </c>
      <c r="N59" s="11" t="s">
        <v>51</v>
      </c>
      <c r="O59" s="11" t="s">
        <v>60</v>
      </c>
      <c r="P59" s="11" t="s">
        <v>53</v>
      </c>
      <c r="Q59" s="10"/>
      <c r="R59" s="10"/>
      <c r="S59" s="10"/>
      <c r="T59" s="10"/>
      <c r="U59" s="12"/>
    </row>
    <row r="60" spans="1:21" ht="54" customHeight="1" x14ac:dyDescent="0.3">
      <c r="A60" s="11" t="s">
        <v>261</v>
      </c>
      <c r="B60" s="11" t="s">
        <v>262</v>
      </c>
      <c r="C60" s="7" t="s">
        <v>155</v>
      </c>
      <c r="D60" s="8">
        <v>1.5771484375</v>
      </c>
      <c r="E60" s="7" t="s">
        <v>263</v>
      </c>
      <c r="F60" s="9">
        <v>0</v>
      </c>
      <c r="G60" s="7" t="s">
        <v>47</v>
      </c>
      <c r="H60" s="7" t="s">
        <v>47</v>
      </c>
      <c r="I60" s="7" t="s">
        <v>47</v>
      </c>
      <c r="J60" s="7" t="s">
        <v>152</v>
      </c>
      <c r="K60" s="7" t="s">
        <v>138</v>
      </c>
      <c r="L60" s="7" t="s">
        <v>139</v>
      </c>
      <c r="M60" s="10" t="s">
        <v>12</v>
      </c>
      <c r="N60" s="11" t="s">
        <v>51</v>
      </c>
      <c r="O60" s="11" t="s">
        <v>60</v>
      </c>
      <c r="P60" s="11" t="s">
        <v>53</v>
      </c>
      <c r="Q60" s="10"/>
      <c r="R60" s="10"/>
      <c r="S60" s="10"/>
      <c r="T60" s="10"/>
      <c r="U60" s="12"/>
    </row>
    <row r="61" spans="1:21" ht="54" customHeight="1" x14ac:dyDescent="0.3">
      <c r="A61" s="11" t="s">
        <v>264</v>
      </c>
      <c r="B61" s="11" t="s">
        <v>265</v>
      </c>
      <c r="C61" s="7" t="s">
        <v>155</v>
      </c>
      <c r="D61" s="8">
        <v>5.26708984375</v>
      </c>
      <c r="E61" s="7" t="s">
        <v>266</v>
      </c>
      <c r="F61" s="9">
        <v>0</v>
      </c>
      <c r="G61" s="7" t="s">
        <v>47</v>
      </c>
      <c r="H61" s="7" t="s">
        <v>47</v>
      </c>
      <c r="I61" s="7" t="s">
        <v>47</v>
      </c>
      <c r="J61" s="7" t="s">
        <v>152</v>
      </c>
      <c r="K61" s="7" t="s">
        <v>138</v>
      </c>
      <c r="L61" s="7" t="s">
        <v>139</v>
      </c>
      <c r="M61" s="10" t="s">
        <v>12</v>
      </c>
      <c r="N61" s="11" t="s">
        <v>51</v>
      </c>
      <c r="O61" s="11" t="s">
        <v>60</v>
      </c>
      <c r="P61" s="11" t="s">
        <v>53</v>
      </c>
      <c r="Q61" s="10"/>
      <c r="R61" s="10"/>
      <c r="S61" s="10"/>
      <c r="T61" s="10"/>
      <c r="U61" s="12"/>
    </row>
    <row r="62" spans="1:21" ht="54" customHeight="1" x14ac:dyDescent="0.3">
      <c r="A62" s="11" t="s">
        <v>267</v>
      </c>
      <c r="B62" s="11" t="s">
        <v>268</v>
      </c>
      <c r="C62" s="7" t="s">
        <v>155</v>
      </c>
      <c r="D62" s="8">
        <v>2.49951171875</v>
      </c>
      <c r="E62" s="7" t="s">
        <v>269</v>
      </c>
      <c r="F62" s="9">
        <v>0</v>
      </c>
      <c r="G62" s="7" t="s">
        <v>47</v>
      </c>
      <c r="H62" s="7" t="s">
        <v>47</v>
      </c>
      <c r="I62" s="7" t="s">
        <v>47</v>
      </c>
      <c r="J62" s="7" t="s">
        <v>152</v>
      </c>
      <c r="K62" s="7" t="s">
        <v>138</v>
      </c>
      <c r="L62" s="7" t="s">
        <v>139</v>
      </c>
      <c r="M62" s="10" t="s">
        <v>12</v>
      </c>
      <c r="N62" s="11" t="s">
        <v>51</v>
      </c>
      <c r="O62" s="11" t="s">
        <v>60</v>
      </c>
      <c r="P62" s="11" t="s">
        <v>53</v>
      </c>
      <c r="Q62" s="10"/>
      <c r="R62" s="10"/>
      <c r="S62" s="10"/>
      <c r="T62" s="10"/>
      <c r="U62" s="12"/>
    </row>
    <row r="63" spans="1:21" ht="54" customHeight="1" x14ac:dyDescent="0.3">
      <c r="A63" s="11" t="s">
        <v>270</v>
      </c>
      <c r="B63" s="11" t="s">
        <v>271</v>
      </c>
      <c r="C63" s="7" t="s">
        <v>155</v>
      </c>
      <c r="D63" s="8">
        <v>1.2998046875</v>
      </c>
      <c r="E63" s="7" t="s">
        <v>272</v>
      </c>
      <c r="F63" s="9">
        <v>0</v>
      </c>
      <c r="G63" s="7" t="s">
        <v>47</v>
      </c>
      <c r="H63" s="7" t="s">
        <v>47</v>
      </c>
      <c r="I63" s="7" t="s">
        <v>47</v>
      </c>
      <c r="J63" s="7" t="s">
        <v>152</v>
      </c>
      <c r="K63" s="7" t="s">
        <v>138</v>
      </c>
      <c r="L63" s="7" t="s">
        <v>139</v>
      </c>
      <c r="M63" s="10" t="s">
        <v>12</v>
      </c>
      <c r="N63" s="11" t="s">
        <v>51</v>
      </c>
      <c r="O63" s="11" t="s">
        <v>60</v>
      </c>
      <c r="P63" s="11" t="s">
        <v>53</v>
      </c>
      <c r="Q63" s="10"/>
      <c r="R63" s="10"/>
      <c r="S63" s="10"/>
      <c r="T63" s="10"/>
      <c r="U63" s="12"/>
    </row>
    <row r="64" spans="1:21" ht="54" customHeight="1" x14ac:dyDescent="0.3">
      <c r="A64" s="11" t="s">
        <v>273</v>
      </c>
      <c r="B64" s="11" t="s">
        <v>274</v>
      </c>
      <c r="C64" s="7" t="s">
        <v>155</v>
      </c>
      <c r="D64" s="8">
        <v>0.57470703125</v>
      </c>
      <c r="E64" s="7" t="s">
        <v>275</v>
      </c>
      <c r="F64" s="9">
        <v>0</v>
      </c>
      <c r="G64" s="7" t="s">
        <v>47</v>
      </c>
      <c r="H64" s="7" t="s">
        <v>47</v>
      </c>
      <c r="I64" s="7" t="s">
        <v>47</v>
      </c>
      <c r="J64" s="7" t="s">
        <v>152</v>
      </c>
      <c r="K64" s="7" t="s">
        <v>138</v>
      </c>
      <c r="L64" s="7" t="s">
        <v>139</v>
      </c>
      <c r="M64" s="10" t="s">
        <v>12</v>
      </c>
      <c r="N64" s="11" t="s">
        <v>51</v>
      </c>
      <c r="O64" s="11" t="s">
        <v>60</v>
      </c>
      <c r="P64" s="11" t="s">
        <v>53</v>
      </c>
      <c r="Q64" s="10"/>
      <c r="R64" s="10"/>
      <c r="S64" s="10"/>
      <c r="T64" s="10"/>
      <c r="U64" s="12"/>
    </row>
    <row r="65" spans="1:21" ht="54" customHeight="1" x14ac:dyDescent="0.3">
      <c r="A65" s="11" t="s">
        <v>276</v>
      </c>
      <c r="B65" s="11" t="s">
        <v>218</v>
      </c>
      <c r="C65" s="7" t="s">
        <v>219</v>
      </c>
      <c r="D65" s="8">
        <v>0.1982421875</v>
      </c>
      <c r="E65" s="7" t="s">
        <v>277</v>
      </c>
      <c r="F65" s="9">
        <v>0</v>
      </c>
      <c r="G65" s="7" t="s">
        <v>47</v>
      </c>
      <c r="H65" s="7" t="s">
        <v>47</v>
      </c>
      <c r="I65" s="7" t="s">
        <v>47</v>
      </c>
      <c r="J65" s="7" t="s">
        <v>152</v>
      </c>
      <c r="K65" s="7" t="s">
        <v>138</v>
      </c>
      <c r="L65" s="7" t="s">
        <v>139</v>
      </c>
      <c r="M65" s="10" t="s">
        <v>12</v>
      </c>
      <c r="N65" s="11" t="s">
        <v>51</v>
      </c>
      <c r="O65" s="11" t="s">
        <v>60</v>
      </c>
      <c r="P65" s="11" t="s">
        <v>53</v>
      </c>
      <c r="Q65" s="10"/>
      <c r="R65" s="10"/>
      <c r="S65" s="10"/>
      <c r="T65" s="10"/>
      <c r="U65" s="12"/>
    </row>
    <row r="66" spans="1:21" ht="54" customHeight="1" x14ac:dyDescent="0.3">
      <c r="A66" s="11" t="s">
        <v>278</v>
      </c>
      <c r="B66" s="11" t="s">
        <v>279</v>
      </c>
      <c r="C66" s="7" t="s">
        <v>239</v>
      </c>
      <c r="D66" s="8">
        <v>25.56126594543457</v>
      </c>
      <c r="E66" s="7" t="s">
        <v>240</v>
      </c>
      <c r="F66" s="9">
        <v>0</v>
      </c>
      <c r="G66" s="7" t="s">
        <v>47</v>
      </c>
      <c r="H66" s="7" t="s">
        <v>47</v>
      </c>
      <c r="I66" s="7" t="s">
        <v>47</v>
      </c>
      <c r="J66" s="7" t="s">
        <v>152</v>
      </c>
      <c r="K66" s="7" t="s">
        <v>138</v>
      </c>
      <c r="L66" s="7" t="s">
        <v>139</v>
      </c>
      <c r="M66" s="10" t="s">
        <v>12</v>
      </c>
      <c r="N66" s="11" t="s">
        <v>280</v>
      </c>
      <c r="O66" s="11" t="s">
        <v>60</v>
      </c>
      <c r="P66" s="11" t="s">
        <v>107</v>
      </c>
      <c r="Q66" s="10"/>
      <c r="R66" s="10"/>
      <c r="S66" s="10"/>
      <c r="T66" s="10"/>
      <c r="U66" s="12"/>
    </row>
    <row r="67" spans="1:21" ht="54" customHeight="1" x14ac:dyDescent="0.3">
      <c r="A67" s="11" t="s">
        <v>281</v>
      </c>
      <c r="B67" s="11" t="s">
        <v>282</v>
      </c>
      <c r="C67" s="7" t="s">
        <v>44</v>
      </c>
      <c r="D67" s="8">
        <v>0.15503501892089844</v>
      </c>
      <c r="E67" s="7" t="s">
        <v>283</v>
      </c>
      <c r="F67" s="9">
        <v>2</v>
      </c>
      <c r="G67" s="7" t="s">
        <v>94</v>
      </c>
      <c r="H67" s="7" t="s">
        <v>95</v>
      </c>
      <c r="I67" s="7" t="s">
        <v>46</v>
      </c>
      <c r="J67" s="7" t="s">
        <v>48</v>
      </c>
      <c r="K67" s="7" t="s">
        <v>138</v>
      </c>
      <c r="L67" s="7" t="s">
        <v>139</v>
      </c>
      <c r="M67" s="10" t="s">
        <v>12</v>
      </c>
      <c r="N67" s="11" t="s">
        <v>98</v>
      </c>
      <c r="O67" s="11" t="s">
        <v>60</v>
      </c>
      <c r="P67" s="11" t="s">
        <v>99</v>
      </c>
      <c r="Q67" s="10"/>
      <c r="R67" s="10"/>
      <c r="S67" s="10"/>
      <c r="T67" s="10"/>
      <c r="U67" s="12"/>
    </row>
    <row r="68" spans="1:21" ht="54" customHeight="1" x14ac:dyDescent="0.3">
      <c r="A68" s="11" t="s">
        <v>284</v>
      </c>
      <c r="B68" s="11" t="s">
        <v>285</v>
      </c>
      <c r="C68" s="7" t="s">
        <v>244</v>
      </c>
      <c r="D68" s="8">
        <v>69.01611328125</v>
      </c>
      <c r="E68" s="7" t="s">
        <v>286</v>
      </c>
      <c r="F68" s="9">
        <v>0</v>
      </c>
      <c r="G68" s="7" t="s">
        <v>47</v>
      </c>
      <c r="H68" s="7" t="s">
        <v>47</v>
      </c>
      <c r="I68" s="7" t="s">
        <v>47</v>
      </c>
      <c r="J68" s="7" t="s">
        <v>152</v>
      </c>
      <c r="K68" s="7" t="s">
        <v>138</v>
      </c>
      <c r="L68" s="7" t="s">
        <v>139</v>
      </c>
      <c r="M68" s="10" t="s">
        <v>12</v>
      </c>
      <c r="N68" s="11" t="s">
        <v>241</v>
      </c>
      <c r="O68" s="11" t="s">
        <v>60</v>
      </c>
      <c r="P68" s="11" t="s">
        <v>53</v>
      </c>
      <c r="Q68" s="10"/>
      <c r="R68" s="10"/>
      <c r="S68" s="10"/>
      <c r="T68" s="10"/>
      <c r="U68" s="12"/>
    </row>
    <row r="69" spans="1:21" ht="54" customHeight="1" x14ac:dyDescent="0.3">
      <c r="A69" s="11" t="s">
        <v>287</v>
      </c>
      <c r="B69" s="11" t="s">
        <v>288</v>
      </c>
      <c r="C69" s="7" t="s">
        <v>44</v>
      </c>
      <c r="D69" s="8">
        <v>43.795495986938477</v>
      </c>
      <c r="E69" s="7" t="s">
        <v>289</v>
      </c>
      <c r="F69" s="9">
        <v>344</v>
      </c>
      <c r="G69" s="7" t="s">
        <v>47</v>
      </c>
      <c r="H69" s="7" t="s">
        <v>95</v>
      </c>
      <c r="I69" s="7" t="s">
        <v>46</v>
      </c>
      <c r="J69" s="7" t="s">
        <v>152</v>
      </c>
      <c r="K69" s="7" t="s">
        <v>138</v>
      </c>
      <c r="L69" s="7" t="s">
        <v>139</v>
      </c>
      <c r="M69" s="10" t="s">
        <v>12</v>
      </c>
      <c r="N69" s="11" t="s">
        <v>290</v>
      </c>
      <c r="O69" s="11" t="s">
        <v>60</v>
      </c>
      <c r="P69" s="11" t="s">
        <v>99</v>
      </c>
      <c r="Q69" s="10"/>
      <c r="R69" s="10"/>
      <c r="S69" s="10"/>
      <c r="T69" s="10"/>
      <c r="U69" s="12"/>
    </row>
    <row r="70" spans="1:21" ht="54" customHeight="1" x14ac:dyDescent="0.3">
      <c r="A70" s="11" t="s">
        <v>291</v>
      </c>
      <c r="B70" s="11" t="s">
        <v>292</v>
      </c>
      <c r="C70" s="7" t="s">
        <v>44</v>
      </c>
      <c r="D70" s="8">
        <v>2.0470991134643555</v>
      </c>
      <c r="E70" s="7" t="s">
        <v>293</v>
      </c>
      <c r="F70" s="9">
        <v>2</v>
      </c>
      <c r="G70" s="7" t="s">
        <v>46</v>
      </c>
      <c r="H70" s="7" t="s">
        <v>47</v>
      </c>
      <c r="I70" s="7" t="s">
        <v>46</v>
      </c>
      <c r="J70" s="7" t="s">
        <v>57</v>
      </c>
      <c r="K70" s="7" t="s">
        <v>138</v>
      </c>
      <c r="L70" s="7" t="s">
        <v>139</v>
      </c>
      <c r="M70" s="10" t="s">
        <v>12</v>
      </c>
      <c r="N70" s="11" t="s">
        <v>51</v>
      </c>
      <c r="O70" s="11" t="s">
        <v>60</v>
      </c>
      <c r="P70" s="11" t="s">
        <v>53</v>
      </c>
      <c r="Q70" s="10"/>
      <c r="R70" s="10"/>
      <c r="S70" s="10"/>
      <c r="T70" s="10"/>
      <c r="U70" s="12"/>
    </row>
    <row r="71" spans="1:21" ht="54" customHeight="1" x14ac:dyDescent="0.3">
      <c r="A71" s="11" t="s">
        <v>294</v>
      </c>
      <c r="B71" s="11" t="s">
        <v>295</v>
      </c>
      <c r="C71" s="7" t="s">
        <v>296</v>
      </c>
      <c r="D71" s="8">
        <v>1.7261505126953125E-4</v>
      </c>
      <c r="E71" s="7" t="s">
        <v>297</v>
      </c>
      <c r="F71" s="9">
        <v>0</v>
      </c>
      <c r="G71" s="7" t="s">
        <v>47</v>
      </c>
      <c r="H71" s="7" t="s">
        <v>47</v>
      </c>
      <c r="I71" s="7" t="s">
        <v>47</v>
      </c>
      <c r="J71" s="7" t="s">
        <v>152</v>
      </c>
      <c r="K71" s="7" t="s">
        <v>138</v>
      </c>
      <c r="L71" s="7" t="s">
        <v>139</v>
      </c>
      <c r="M71" s="10" t="s">
        <v>12</v>
      </c>
      <c r="N71" s="11" t="s">
        <v>51</v>
      </c>
      <c r="O71" s="11" t="s">
        <v>60</v>
      </c>
      <c r="P71" s="11" t="s">
        <v>53</v>
      </c>
      <c r="Q71" s="10"/>
      <c r="R71" s="10"/>
      <c r="S71" s="10"/>
      <c r="T71" s="10"/>
      <c r="U71" s="12"/>
    </row>
    <row r="72" spans="1:21" ht="54" customHeight="1" x14ac:dyDescent="0.3">
      <c r="A72" s="11" t="s">
        <v>298</v>
      </c>
      <c r="B72" s="11" t="s">
        <v>299</v>
      </c>
      <c r="C72" s="7" t="s">
        <v>155</v>
      </c>
      <c r="D72" s="8">
        <v>4.64013671875</v>
      </c>
      <c r="E72" s="7" t="s">
        <v>300</v>
      </c>
      <c r="F72" s="9">
        <v>0</v>
      </c>
      <c r="G72" s="7" t="s">
        <v>47</v>
      </c>
      <c r="H72" s="7" t="s">
        <v>47</v>
      </c>
      <c r="I72" s="7" t="s">
        <v>47</v>
      </c>
      <c r="J72" s="7" t="s">
        <v>152</v>
      </c>
      <c r="K72" s="7" t="s">
        <v>138</v>
      </c>
      <c r="L72" s="7" t="s">
        <v>139</v>
      </c>
      <c r="M72" s="10" t="s">
        <v>12</v>
      </c>
      <c r="N72" s="11" t="s">
        <v>51</v>
      </c>
      <c r="O72" s="11" t="s">
        <v>60</v>
      </c>
      <c r="P72" s="11" t="s">
        <v>53</v>
      </c>
      <c r="Q72" s="10"/>
      <c r="R72" s="10"/>
      <c r="S72" s="10"/>
      <c r="T72" s="10"/>
      <c r="U72" s="12"/>
    </row>
    <row r="73" spans="1:21" ht="54" customHeight="1" x14ac:dyDescent="0.3">
      <c r="A73" s="11" t="s">
        <v>301</v>
      </c>
      <c r="B73" s="11" t="s">
        <v>302</v>
      </c>
      <c r="C73" s="7" t="s">
        <v>303</v>
      </c>
      <c r="D73" s="8">
        <v>1.3896427154541016</v>
      </c>
      <c r="E73" s="7" t="s">
        <v>304</v>
      </c>
      <c r="F73" s="9">
        <v>0</v>
      </c>
      <c r="G73" s="7" t="s">
        <v>47</v>
      </c>
      <c r="H73" s="7" t="s">
        <v>47</v>
      </c>
      <c r="I73" s="7" t="s">
        <v>47</v>
      </c>
      <c r="J73" s="7" t="s">
        <v>152</v>
      </c>
      <c r="K73" s="7" t="s">
        <v>138</v>
      </c>
      <c r="L73" s="7" t="s">
        <v>139</v>
      </c>
      <c r="M73" s="10" t="s">
        <v>12</v>
      </c>
      <c r="N73" s="11" t="s">
        <v>241</v>
      </c>
      <c r="O73" s="11" t="s">
        <v>60</v>
      </c>
      <c r="P73" s="11" t="s">
        <v>53</v>
      </c>
      <c r="Q73" s="10"/>
      <c r="R73" s="10"/>
      <c r="S73" s="10"/>
      <c r="T73" s="10"/>
      <c r="U73" s="12"/>
    </row>
    <row r="74" spans="1:21" ht="54" customHeight="1" x14ac:dyDescent="0.3">
      <c r="A74" s="11" t="s">
        <v>305</v>
      </c>
      <c r="B74" s="11" t="s">
        <v>306</v>
      </c>
      <c r="C74" s="7" t="s">
        <v>303</v>
      </c>
      <c r="D74" s="8">
        <v>0.95480442047119141</v>
      </c>
      <c r="E74" s="7" t="s">
        <v>307</v>
      </c>
      <c r="F74" s="9">
        <v>0</v>
      </c>
      <c r="G74" s="7" t="s">
        <v>47</v>
      </c>
      <c r="H74" s="7" t="s">
        <v>47</v>
      </c>
      <c r="I74" s="7" t="s">
        <v>47</v>
      </c>
      <c r="J74" s="7" t="s">
        <v>152</v>
      </c>
      <c r="K74" s="7" t="s">
        <v>138</v>
      </c>
      <c r="L74" s="7" t="s">
        <v>139</v>
      </c>
      <c r="M74" s="10" t="s">
        <v>12</v>
      </c>
      <c r="N74" s="11" t="s">
        <v>241</v>
      </c>
      <c r="O74" s="11" t="s">
        <v>60</v>
      </c>
      <c r="P74" s="11" t="s">
        <v>53</v>
      </c>
      <c r="Q74" s="10"/>
      <c r="R74" s="10"/>
      <c r="S74" s="10"/>
      <c r="T74" s="10"/>
      <c r="U74" s="12"/>
    </row>
    <row r="75" spans="1:21" ht="54" customHeight="1" x14ac:dyDescent="0.3">
      <c r="A75" s="11" t="s">
        <v>308</v>
      </c>
      <c r="B75" s="11" t="s">
        <v>309</v>
      </c>
      <c r="C75" s="7" t="s">
        <v>310</v>
      </c>
      <c r="D75" s="8">
        <v>1.3451576232910156E-2</v>
      </c>
      <c r="E75" s="7" t="s">
        <v>311</v>
      </c>
      <c r="F75" s="9">
        <v>0</v>
      </c>
      <c r="G75" s="7" t="s">
        <v>47</v>
      </c>
      <c r="H75" s="7" t="s">
        <v>47</v>
      </c>
      <c r="I75" s="7" t="s">
        <v>47</v>
      </c>
      <c r="J75" s="7" t="s">
        <v>152</v>
      </c>
      <c r="K75" s="7" t="s">
        <v>138</v>
      </c>
      <c r="L75" s="7" t="s">
        <v>139</v>
      </c>
      <c r="M75" s="10" t="s">
        <v>12</v>
      </c>
      <c r="N75" s="11" t="s">
        <v>51</v>
      </c>
      <c r="O75" s="11" t="s">
        <v>60</v>
      </c>
      <c r="P75" s="11" t="s">
        <v>53</v>
      </c>
      <c r="Q75" s="10"/>
      <c r="R75" s="10"/>
      <c r="S75" s="10"/>
      <c r="T75" s="10"/>
      <c r="U75" s="12"/>
    </row>
    <row r="76" spans="1:21" ht="54" customHeight="1" x14ac:dyDescent="0.3">
      <c r="A76" s="11" t="s">
        <v>312</v>
      </c>
      <c r="B76" s="11" t="s">
        <v>313</v>
      </c>
      <c r="C76" s="7" t="s">
        <v>44</v>
      </c>
      <c r="D76" s="8">
        <v>1.7715539932250977</v>
      </c>
      <c r="E76" s="7" t="s">
        <v>314</v>
      </c>
      <c r="F76" s="9">
        <v>45</v>
      </c>
      <c r="G76" s="7" t="s">
        <v>46</v>
      </c>
      <c r="H76" s="7" t="s">
        <v>47</v>
      </c>
      <c r="I76" s="7" t="s">
        <v>46</v>
      </c>
      <c r="J76" s="7" t="s">
        <v>48</v>
      </c>
      <c r="K76" s="7" t="s">
        <v>315</v>
      </c>
      <c r="L76" s="7"/>
      <c r="M76" s="10" t="s">
        <v>12</v>
      </c>
      <c r="N76" s="11" t="s">
        <v>124</v>
      </c>
      <c r="O76" s="11" t="s">
        <v>60</v>
      </c>
      <c r="P76" s="11" t="s">
        <v>53</v>
      </c>
      <c r="Q76" s="10"/>
      <c r="R76" s="10"/>
      <c r="S76" s="10"/>
      <c r="T76" s="10"/>
      <c r="U76" s="12"/>
    </row>
    <row r="77" spans="1:21" ht="54" customHeight="1" x14ac:dyDescent="0.3">
      <c r="A77" s="11" t="s">
        <v>316</v>
      </c>
      <c r="B77" s="11" t="s">
        <v>317</v>
      </c>
      <c r="C77" s="7" t="s">
        <v>44</v>
      </c>
      <c r="D77" s="8">
        <v>0.95323562622070313</v>
      </c>
      <c r="E77" s="7" t="s">
        <v>318</v>
      </c>
      <c r="F77" s="9">
        <v>25</v>
      </c>
      <c r="G77" s="7" t="s">
        <v>46</v>
      </c>
      <c r="H77" s="7" t="s">
        <v>47</v>
      </c>
      <c r="I77" s="7" t="s">
        <v>46</v>
      </c>
      <c r="J77" s="7" t="s">
        <v>57</v>
      </c>
      <c r="K77" s="7"/>
      <c r="L77" s="7" t="s">
        <v>319</v>
      </c>
      <c r="M77" s="10" t="s">
        <v>12</v>
      </c>
      <c r="N77" s="11" t="s">
        <v>51</v>
      </c>
      <c r="O77" s="11" t="s">
        <v>60</v>
      </c>
      <c r="P77" s="11" t="s">
        <v>53</v>
      </c>
      <c r="Q77" s="10"/>
      <c r="R77" s="10"/>
      <c r="S77" s="10"/>
      <c r="T77" s="10"/>
      <c r="U77" s="12"/>
    </row>
    <row r="78" spans="1:21" ht="54" customHeight="1" x14ac:dyDescent="0.3">
      <c r="A78" s="11" t="s">
        <v>320</v>
      </c>
      <c r="B78" s="11" t="s">
        <v>321</v>
      </c>
      <c r="C78" s="7" t="s">
        <v>44</v>
      </c>
      <c r="D78" s="8">
        <v>3.194432258605957</v>
      </c>
      <c r="E78" s="7" t="s">
        <v>322</v>
      </c>
      <c r="F78" s="9">
        <v>196</v>
      </c>
      <c r="G78" s="7" t="s">
        <v>94</v>
      </c>
      <c r="H78" s="7" t="s">
        <v>95</v>
      </c>
      <c r="I78" s="7" t="s">
        <v>46</v>
      </c>
      <c r="J78" s="7" t="s">
        <v>57</v>
      </c>
      <c r="K78" s="7"/>
      <c r="L78" s="7" t="s">
        <v>319</v>
      </c>
      <c r="M78" s="10" t="s">
        <v>12</v>
      </c>
      <c r="N78" s="11" t="s">
        <v>98</v>
      </c>
      <c r="O78" s="11" t="s">
        <v>60</v>
      </c>
      <c r="P78" s="11" t="s">
        <v>99</v>
      </c>
      <c r="Q78" s="10"/>
      <c r="R78" s="10"/>
      <c r="S78" s="10"/>
      <c r="T78" s="10"/>
      <c r="U78" s="12"/>
    </row>
    <row r="79" spans="1:21" ht="54" customHeight="1" x14ac:dyDescent="0.3">
      <c r="A79" s="11" t="s">
        <v>323</v>
      </c>
      <c r="B79" s="11" t="s">
        <v>324</v>
      </c>
      <c r="C79" s="7" t="s">
        <v>44</v>
      </c>
      <c r="D79" s="8">
        <v>1.7228889465332031</v>
      </c>
      <c r="E79" s="7" t="s">
        <v>325</v>
      </c>
      <c r="F79" s="9">
        <v>74</v>
      </c>
      <c r="G79" s="7" t="s">
        <v>94</v>
      </c>
      <c r="H79" s="7" t="s">
        <v>95</v>
      </c>
      <c r="I79" s="7" t="s">
        <v>46</v>
      </c>
      <c r="J79" s="7" t="s">
        <v>48</v>
      </c>
      <c r="K79" s="7" t="s">
        <v>326</v>
      </c>
      <c r="L79" s="7" t="s">
        <v>327</v>
      </c>
      <c r="M79" s="10" t="s">
        <v>12</v>
      </c>
      <c r="N79" s="11" t="s">
        <v>98</v>
      </c>
      <c r="O79" s="11" t="s">
        <v>76</v>
      </c>
      <c r="P79" s="11" t="s">
        <v>99</v>
      </c>
      <c r="Q79" s="10"/>
      <c r="R79" s="10"/>
      <c r="S79" s="10"/>
      <c r="T79" s="10"/>
      <c r="U79" s="12"/>
    </row>
    <row r="80" spans="1:21" ht="54" customHeight="1" x14ac:dyDescent="0.3">
      <c r="A80" s="11" t="s">
        <v>328</v>
      </c>
      <c r="B80" s="11" t="s">
        <v>329</v>
      </c>
      <c r="C80" s="7" t="s">
        <v>44</v>
      </c>
      <c r="D80" s="8">
        <v>9.0006504058837891</v>
      </c>
      <c r="E80" s="7" t="s">
        <v>330</v>
      </c>
      <c r="F80" s="9">
        <v>214</v>
      </c>
      <c r="G80" s="7" t="s">
        <v>94</v>
      </c>
      <c r="H80" s="7" t="s">
        <v>95</v>
      </c>
      <c r="I80" s="7" t="s">
        <v>46</v>
      </c>
      <c r="J80" s="7" t="s">
        <v>57</v>
      </c>
      <c r="K80" s="7" t="s">
        <v>331</v>
      </c>
      <c r="L80" s="7" t="s">
        <v>332</v>
      </c>
      <c r="M80" s="10" t="s">
        <v>12</v>
      </c>
      <c r="N80" s="11" t="s">
        <v>98</v>
      </c>
      <c r="O80" s="11" t="s">
        <v>76</v>
      </c>
      <c r="P80" s="11" t="s">
        <v>99</v>
      </c>
      <c r="Q80" s="10"/>
      <c r="R80" s="10"/>
      <c r="S80" s="10"/>
      <c r="T80" s="10"/>
      <c r="U80" s="12"/>
    </row>
    <row r="81" spans="1:21" ht="54" customHeight="1" x14ac:dyDescent="0.3">
      <c r="A81" s="11" t="s">
        <v>333</v>
      </c>
      <c r="B81" s="11" t="s">
        <v>334</v>
      </c>
      <c r="C81" s="7" t="s">
        <v>44</v>
      </c>
      <c r="D81" s="8">
        <v>2.4374151229858398</v>
      </c>
      <c r="E81" s="7" t="s">
        <v>335</v>
      </c>
      <c r="F81" s="9">
        <v>218</v>
      </c>
      <c r="G81" s="7" t="s">
        <v>46</v>
      </c>
      <c r="H81" s="7" t="s">
        <v>47</v>
      </c>
      <c r="I81" s="7" t="s">
        <v>46</v>
      </c>
      <c r="J81" s="7" t="s">
        <v>57</v>
      </c>
      <c r="K81" s="7" t="s">
        <v>331</v>
      </c>
      <c r="L81" s="7" t="s">
        <v>332</v>
      </c>
      <c r="M81" s="10" t="s">
        <v>12</v>
      </c>
      <c r="N81" s="11" t="s">
        <v>51</v>
      </c>
      <c r="O81" s="11" t="s">
        <v>60</v>
      </c>
      <c r="P81" s="11" t="s">
        <v>53</v>
      </c>
      <c r="Q81" s="10"/>
      <c r="R81" s="10"/>
      <c r="S81" s="10"/>
      <c r="T81" s="10"/>
      <c r="U81" s="12"/>
    </row>
    <row r="82" spans="1:21" ht="54" customHeight="1" x14ac:dyDescent="0.3">
      <c r="A82" s="11" t="s">
        <v>336</v>
      </c>
      <c r="B82" s="11" t="s">
        <v>337</v>
      </c>
      <c r="C82" s="7" t="s">
        <v>44</v>
      </c>
      <c r="D82" s="8">
        <v>12.800837516784668</v>
      </c>
      <c r="E82" s="7" t="s">
        <v>338</v>
      </c>
      <c r="F82" s="9">
        <v>595</v>
      </c>
      <c r="G82" s="7" t="s">
        <v>94</v>
      </c>
      <c r="H82" s="7" t="s">
        <v>95</v>
      </c>
      <c r="I82" s="7" t="s">
        <v>46</v>
      </c>
      <c r="J82" s="7" t="s">
        <v>57</v>
      </c>
      <c r="K82" s="7"/>
      <c r="L82" s="7"/>
      <c r="M82" s="10" t="s">
        <v>12</v>
      </c>
      <c r="N82" s="11" t="s">
        <v>124</v>
      </c>
      <c r="O82" s="11" t="s">
        <v>76</v>
      </c>
      <c r="P82" s="11" t="s">
        <v>99</v>
      </c>
      <c r="Q82" s="10"/>
      <c r="R82" s="10"/>
      <c r="S82" s="10"/>
      <c r="T82" s="10"/>
      <c r="U82" s="12"/>
    </row>
    <row r="83" spans="1:21" ht="54" customHeight="1" x14ac:dyDescent="0.3">
      <c r="A83" s="11" t="s">
        <v>339</v>
      </c>
      <c r="B83" s="11" t="s">
        <v>92</v>
      </c>
      <c r="C83" s="7" t="s">
        <v>44</v>
      </c>
      <c r="D83" s="8">
        <v>20.424659729003906</v>
      </c>
      <c r="E83" s="7" t="s">
        <v>93</v>
      </c>
      <c r="F83" s="9">
        <v>87</v>
      </c>
      <c r="G83" s="7" t="s">
        <v>94</v>
      </c>
      <c r="H83" s="7" t="s">
        <v>95</v>
      </c>
      <c r="I83" s="7" t="s">
        <v>46</v>
      </c>
      <c r="J83" s="7" t="s">
        <v>48</v>
      </c>
      <c r="K83" s="7" t="s">
        <v>96</v>
      </c>
      <c r="L83" s="7" t="s">
        <v>97</v>
      </c>
      <c r="M83" s="10" t="s">
        <v>12</v>
      </c>
      <c r="N83" s="11" t="s">
        <v>114</v>
      </c>
      <c r="O83" s="11" t="s">
        <v>64</v>
      </c>
      <c r="P83" s="11" t="s">
        <v>107</v>
      </c>
      <c r="Q83" s="10"/>
      <c r="R83" s="10"/>
      <c r="S83" s="10"/>
      <c r="T83" s="10"/>
      <c r="U83" s="12"/>
    </row>
    <row r="84" spans="1:21" ht="54" customHeight="1" x14ac:dyDescent="0.3">
      <c r="A84" s="11" t="s">
        <v>340</v>
      </c>
      <c r="B84" s="11" t="s">
        <v>101</v>
      </c>
      <c r="C84" s="7" t="s">
        <v>44</v>
      </c>
      <c r="D84" s="8">
        <v>6.4470672607421875</v>
      </c>
      <c r="E84" s="7" t="s">
        <v>102</v>
      </c>
      <c r="F84" s="9">
        <v>92</v>
      </c>
      <c r="G84" s="7" t="s">
        <v>94</v>
      </c>
      <c r="H84" s="7" t="s">
        <v>95</v>
      </c>
      <c r="I84" s="7" t="s">
        <v>46</v>
      </c>
      <c r="J84" s="7" t="s">
        <v>48</v>
      </c>
      <c r="K84" s="7" t="s">
        <v>96</v>
      </c>
      <c r="L84" s="7" t="s">
        <v>103</v>
      </c>
      <c r="M84" s="10" t="s">
        <v>12</v>
      </c>
      <c r="N84" s="11" t="s">
        <v>106</v>
      </c>
      <c r="O84" s="11" t="s">
        <v>52</v>
      </c>
      <c r="P84" s="11" t="s">
        <v>107</v>
      </c>
      <c r="Q84" s="10"/>
      <c r="R84" s="10"/>
      <c r="S84" s="10"/>
      <c r="T84" s="10"/>
      <c r="U84" s="12"/>
    </row>
    <row r="85" spans="1:21" ht="54" customHeight="1" x14ac:dyDescent="0.3">
      <c r="A85" s="11" t="s">
        <v>341</v>
      </c>
      <c r="B85" s="11" t="s">
        <v>105</v>
      </c>
      <c r="C85" s="7" t="s">
        <v>44</v>
      </c>
      <c r="D85" s="8">
        <v>6.4470672607421875</v>
      </c>
      <c r="E85" s="7" t="s">
        <v>102</v>
      </c>
      <c r="F85" s="9">
        <v>92</v>
      </c>
      <c r="G85" s="7" t="s">
        <v>94</v>
      </c>
      <c r="H85" s="7" t="s">
        <v>95</v>
      </c>
      <c r="I85" s="7" t="s">
        <v>46</v>
      </c>
      <c r="J85" s="7" t="s">
        <v>48</v>
      </c>
      <c r="K85" s="7" t="s">
        <v>96</v>
      </c>
      <c r="L85" s="7" t="s">
        <v>103</v>
      </c>
      <c r="M85" s="10" t="s">
        <v>12</v>
      </c>
      <c r="N85" s="11" t="s">
        <v>106</v>
      </c>
      <c r="O85" s="11" t="s">
        <v>52</v>
      </c>
      <c r="P85" s="11" t="s">
        <v>107</v>
      </c>
      <c r="Q85" s="10"/>
      <c r="R85" s="10"/>
      <c r="S85" s="10"/>
      <c r="T85" s="10"/>
      <c r="U85" s="12"/>
    </row>
    <row r="86" spans="1:21" ht="54" customHeight="1" x14ac:dyDescent="0.3">
      <c r="A86" s="11" t="s">
        <v>342</v>
      </c>
      <c r="B86" s="11" t="s">
        <v>109</v>
      </c>
      <c r="C86" s="7" t="s">
        <v>44</v>
      </c>
      <c r="D86" s="8">
        <v>7.3810672760009766</v>
      </c>
      <c r="E86" s="7" t="s">
        <v>110</v>
      </c>
      <c r="F86" s="9">
        <v>92</v>
      </c>
      <c r="G86" s="7" t="s">
        <v>94</v>
      </c>
      <c r="H86" s="7" t="s">
        <v>95</v>
      </c>
      <c r="I86" s="7" t="s">
        <v>46</v>
      </c>
      <c r="J86" s="7" t="s">
        <v>57</v>
      </c>
      <c r="K86" s="7" t="s">
        <v>96</v>
      </c>
      <c r="L86" s="7" t="s">
        <v>111</v>
      </c>
      <c r="M86" s="10" t="s">
        <v>12</v>
      </c>
      <c r="N86" s="11" t="s">
        <v>343</v>
      </c>
      <c r="O86" s="11" t="s">
        <v>52</v>
      </c>
      <c r="P86" s="11" t="s">
        <v>107</v>
      </c>
      <c r="Q86" s="10"/>
      <c r="R86" s="10"/>
      <c r="S86" s="10"/>
      <c r="T86" s="10"/>
      <c r="U86" s="12"/>
    </row>
    <row r="87" spans="1:21" ht="54" customHeight="1" x14ac:dyDescent="0.3">
      <c r="A87" s="11" t="s">
        <v>344</v>
      </c>
      <c r="B87" s="11" t="s">
        <v>113</v>
      </c>
      <c r="C87" s="7" t="s">
        <v>44</v>
      </c>
      <c r="D87" s="8">
        <v>20.424659729003906</v>
      </c>
      <c r="E87" s="7" t="s">
        <v>93</v>
      </c>
      <c r="F87" s="9">
        <v>87</v>
      </c>
      <c r="G87" s="7" t="s">
        <v>94</v>
      </c>
      <c r="H87" s="7" t="s">
        <v>95</v>
      </c>
      <c r="I87" s="7" t="s">
        <v>46</v>
      </c>
      <c r="J87" s="7" t="s">
        <v>48</v>
      </c>
      <c r="K87" s="7" t="s">
        <v>96</v>
      </c>
      <c r="L87" s="7"/>
      <c r="M87" s="10" t="s">
        <v>12</v>
      </c>
      <c r="N87" s="11" t="s">
        <v>114</v>
      </c>
      <c r="O87" s="11" t="s">
        <v>60</v>
      </c>
      <c r="P87" s="11" t="s">
        <v>107</v>
      </c>
      <c r="Q87" s="10"/>
      <c r="R87" s="10"/>
      <c r="S87" s="10"/>
      <c r="T87" s="10"/>
      <c r="U87" s="12"/>
    </row>
    <row r="88" spans="1:21" ht="54" customHeight="1" x14ac:dyDescent="0.3">
      <c r="A88" s="11" t="s">
        <v>345</v>
      </c>
      <c r="B88" s="11" t="s">
        <v>346</v>
      </c>
      <c r="C88" s="7" t="s">
        <v>44</v>
      </c>
      <c r="D88" s="8">
        <v>5.220672607421875</v>
      </c>
      <c r="E88" s="7" t="s">
        <v>347</v>
      </c>
      <c r="F88" s="9">
        <v>320</v>
      </c>
      <c r="G88" s="7" t="s">
        <v>94</v>
      </c>
      <c r="H88" s="7" t="s">
        <v>95</v>
      </c>
      <c r="I88" s="7" t="s">
        <v>46</v>
      </c>
      <c r="J88" s="7" t="s">
        <v>57</v>
      </c>
      <c r="K88" s="7" t="s">
        <v>348</v>
      </c>
      <c r="L88" s="7" t="s">
        <v>349</v>
      </c>
      <c r="M88" s="10" t="s">
        <v>12</v>
      </c>
      <c r="N88" s="11" t="s">
        <v>98</v>
      </c>
      <c r="O88" s="11" t="s">
        <v>76</v>
      </c>
      <c r="P88" s="11" t="s">
        <v>99</v>
      </c>
      <c r="Q88" s="10"/>
      <c r="R88" s="10"/>
      <c r="S88" s="10"/>
      <c r="T88" s="10"/>
      <c r="U88" s="12"/>
    </row>
    <row r="89" spans="1:21" ht="54" customHeight="1" x14ac:dyDescent="0.3">
      <c r="A89" s="11" t="s">
        <v>350</v>
      </c>
      <c r="B89" s="11" t="s">
        <v>351</v>
      </c>
      <c r="C89" s="7" t="s">
        <v>44</v>
      </c>
      <c r="D89" s="8">
        <v>2.2321271896362305</v>
      </c>
      <c r="E89" s="7" t="s">
        <v>352</v>
      </c>
      <c r="F89" s="9">
        <v>70</v>
      </c>
      <c r="G89" s="7" t="s">
        <v>94</v>
      </c>
      <c r="H89" s="7" t="s">
        <v>95</v>
      </c>
      <c r="I89" s="7" t="s">
        <v>46</v>
      </c>
      <c r="J89" s="7" t="s">
        <v>48</v>
      </c>
      <c r="K89" s="7" t="s">
        <v>348</v>
      </c>
      <c r="L89" s="7" t="s">
        <v>353</v>
      </c>
      <c r="M89" s="10" t="s">
        <v>12</v>
      </c>
      <c r="N89" s="11" t="s">
        <v>354</v>
      </c>
      <c r="O89" s="11" t="s">
        <v>64</v>
      </c>
      <c r="P89" s="11" t="s">
        <v>355</v>
      </c>
      <c r="Q89" s="10"/>
      <c r="R89" s="10"/>
      <c r="S89" s="10"/>
      <c r="T89" s="10"/>
      <c r="U89" s="12"/>
    </row>
    <row r="90" spans="1:21" ht="54" customHeight="1" x14ac:dyDescent="0.3">
      <c r="A90" s="11" t="s">
        <v>356</v>
      </c>
      <c r="B90" s="11" t="s">
        <v>357</v>
      </c>
      <c r="C90" s="7" t="s">
        <v>44</v>
      </c>
      <c r="D90" s="8">
        <v>4.0822181701660156</v>
      </c>
      <c r="E90" s="7" t="s">
        <v>117</v>
      </c>
      <c r="F90" s="9">
        <v>117</v>
      </c>
      <c r="G90" s="7" t="s">
        <v>94</v>
      </c>
      <c r="H90" s="7" t="s">
        <v>95</v>
      </c>
      <c r="I90" s="7" t="s">
        <v>46</v>
      </c>
      <c r="J90" s="7" t="s">
        <v>57</v>
      </c>
      <c r="K90" s="7" t="s">
        <v>118</v>
      </c>
      <c r="L90" s="7" t="s">
        <v>119</v>
      </c>
      <c r="M90" s="10" t="s">
        <v>12</v>
      </c>
      <c r="N90" s="11" t="s">
        <v>358</v>
      </c>
      <c r="O90" s="11" t="s">
        <v>76</v>
      </c>
      <c r="P90" s="11" t="s">
        <v>107</v>
      </c>
      <c r="Q90" s="10"/>
      <c r="R90" s="10"/>
      <c r="S90" s="10"/>
      <c r="T90" s="10"/>
      <c r="U90" s="12"/>
    </row>
    <row r="91" spans="1:21" ht="54" customHeight="1" x14ac:dyDescent="0.3">
      <c r="A91" s="11" t="s">
        <v>359</v>
      </c>
      <c r="B91" s="11" t="s">
        <v>360</v>
      </c>
      <c r="C91" s="7" t="s">
        <v>44</v>
      </c>
      <c r="D91" s="8">
        <v>6.1915245056152344</v>
      </c>
      <c r="E91" s="7" t="s">
        <v>361</v>
      </c>
      <c r="F91" s="9">
        <v>193</v>
      </c>
      <c r="G91" s="7" t="s">
        <v>94</v>
      </c>
      <c r="H91" s="7" t="s">
        <v>95</v>
      </c>
      <c r="I91" s="7" t="s">
        <v>46</v>
      </c>
      <c r="J91" s="7" t="s">
        <v>57</v>
      </c>
      <c r="K91" s="7" t="s">
        <v>118</v>
      </c>
      <c r="L91" s="7" t="s">
        <v>362</v>
      </c>
      <c r="M91" s="10" t="s">
        <v>12</v>
      </c>
      <c r="N91" s="11" t="s">
        <v>98</v>
      </c>
      <c r="O91" s="11" t="s">
        <v>76</v>
      </c>
      <c r="P91" s="11" t="s">
        <v>99</v>
      </c>
      <c r="Q91" s="10"/>
      <c r="R91" s="10"/>
      <c r="S91" s="10"/>
      <c r="T91" s="10"/>
      <c r="U91" s="12"/>
    </row>
    <row r="92" spans="1:21" ht="54" customHeight="1" x14ac:dyDescent="0.3">
      <c r="A92" s="11" t="s">
        <v>363</v>
      </c>
      <c r="B92" s="11" t="s">
        <v>364</v>
      </c>
      <c r="C92" s="7" t="s">
        <v>44</v>
      </c>
      <c r="D92" s="8">
        <v>3.7787485122680664</v>
      </c>
      <c r="E92" s="7" t="s">
        <v>365</v>
      </c>
      <c r="F92" s="9">
        <v>140</v>
      </c>
      <c r="G92" s="7" t="s">
        <v>94</v>
      </c>
      <c r="H92" s="7" t="s">
        <v>95</v>
      </c>
      <c r="I92" s="7" t="s">
        <v>46</v>
      </c>
      <c r="J92" s="7" t="s">
        <v>57</v>
      </c>
      <c r="K92" s="7" t="s">
        <v>118</v>
      </c>
      <c r="L92" s="7" t="s">
        <v>366</v>
      </c>
      <c r="M92" s="10" t="s">
        <v>12</v>
      </c>
      <c r="N92" s="11" t="s">
        <v>98</v>
      </c>
      <c r="O92" s="11" t="s">
        <v>76</v>
      </c>
      <c r="P92" s="11" t="s">
        <v>99</v>
      </c>
      <c r="Q92" s="10"/>
      <c r="R92" s="10"/>
      <c r="S92" s="10"/>
      <c r="T92" s="10"/>
      <c r="U92" s="12"/>
    </row>
    <row r="93" spans="1:21" ht="54" customHeight="1" x14ac:dyDescent="0.3">
      <c r="A93" s="11" t="s">
        <v>367</v>
      </c>
      <c r="B93" s="11" t="s">
        <v>368</v>
      </c>
      <c r="C93" s="7" t="s">
        <v>44</v>
      </c>
      <c r="D93" s="8">
        <v>2.130584716796875</v>
      </c>
      <c r="E93" s="7" t="s">
        <v>369</v>
      </c>
      <c r="F93" s="9">
        <v>80</v>
      </c>
      <c r="G93" s="7" t="s">
        <v>94</v>
      </c>
      <c r="H93" s="7" t="s">
        <v>95</v>
      </c>
      <c r="I93" s="7" t="s">
        <v>46</v>
      </c>
      <c r="J93" s="7" t="s">
        <v>57</v>
      </c>
      <c r="K93" s="7" t="s">
        <v>118</v>
      </c>
      <c r="L93" s="7" t="s">
        <v>370</v>
      </c>
      <c r="M93" s="10" t="s">
        <v>12</v>
      </c>
      <c r="N93" s="11" t="s">
        <v>98</v>
      </c>
      <c r="O93" s="11" t="s">
        <v>76</v>
      </c>
      <c r="P93" s="11" t="s">
        <v>99</v>
      </c>
      <c r="Q93" s="10"/>
      <c r="R93" s="10"/>
      <c r="S93" s="10"/>
      <c r="T93" s="10"/>
      <c r="U93" s="12"/>
    </row>
    <row r="94" spans="1:21" ht="54" customHeight="1" x14ac:dyDescent="0.3">
      <c r="A94" s="11" t="s">
        <v>371</v>
      </c>
      <c r="B94" s="11" t="s">
        <v>372</v>
      </c>
      <c r="C94" s="7" t="s">
        <v>44</v>
      </c>
      <c r="D94" s="8">
        <v>1.9489879608154297</v>
      </c>
      <c r="E94" s="7" t="s">
        <v>373</v>
      </c>
      <c r="F94" s="9">
        <v>14</v>
      </c>
      <c r="G94" s="7" t="s">
        <v>46</v>
      </c>
      <c r="H94" s="7" t="s">
        <v>47</v>
      </c>
      <c r="I94" s="7" t="s">
        <v>46</v>
      </c>
      <c r="J94" s="7" t="s">
        <v>48</v>
      </c>
      <c r="K94" s="7" t="s">
        <v>374</v>
      </c>
      <c r="L94" s="7" t="s">
        <v>375</v>
      </c>
      <c r="M94" s="10" t="s">
        <v>12</v>
      </c>
      <c r="N94" s="11" t="s">
        <v>51</v>
      </c>
      <c r="O94" s="11" t="s">
        <v>60</v>
      </c>
      <c r="P94" s="11" t="s">
        <v>53</v>
      </c>
      <c r="Q94" s="10"/>
      <c r="R94" s="10"/>
      <c r="S94" s="10"/>
      <c r="T94" s="10"/>
      <c r="U94" s="12"/>
    </row>
    <row r="95" spans="1:21" ht="54" customHeight="1" x14ac:dyDescent="0.3">
      <c r="A95" s="11" t="s">
        <v>376</v>
      </c>
      <c r="B95" s="11" t="s">
        <v>92</v>
      </c>
      <c r="C95" s="7" t="s">
        <v>44</v>
      </c>
      <c r="D95" s="8">
        <v>20.424659729003906</v>
      </c>
      <c r="E95" s="7" t="s">
        <v>93</v>
      </c>
      <c r="F95" s="9">
        <v>87</v>
      </c>
      <c r="G95" s="7" t="s">
        <v>94</v>
      </c>
      <c r="H95" s="7" t="s">
        <v>95</v>
      </c>
      <c r="I95" s="7" t="s">
        <v>46</v>
      </c>
      <c r="J95" s="7" t="s">
        <v>48</v>
      </c>
      <c r="K95" s="7" t="s">
        <v>96</v>
      </c>
      <c r="L95" s="7" t="s">
        <v>97</v>
      </c>
      <c r="M95" s="10" t="s">
        <v>12</v>
      </c>
      <c r="N95" s="11" t="s">
        <v>114</v>
      </c>
      <c r="O95" s="11" t="s">
        <v>64</v>
      </c>
      <c r="P95" s="11" t="s">
        <v>107</v>
      </c>
      <c r="Q95" s="10"/>
      <c r="R95" s="10"/>
      <c r="S95" s="10"/>
      <c r="T95" s="10"/>
      <c r="U95" s="12"/>
    </row>
    <row r="96" spans="1:21" ht="54" customHeight="1" x14ac:dyDescent="0.3">
      <c r="A96" s="11" t="s">
        <v>377</v>
      </c>
      <c r="B96" s="11" t="s">
        <v>101</v>
      </c>
      <c r="C96" s="7" t="s">
        <v>44</v>
      </c>
      <c r="D96" s="8">
        <v>6.4470672607421875</v>
      </c>
      <c r="E96" s="7" t="s">
        <v>102</v>
      </c>
      <c r="F96" s="9">
        <v>92</v>
      </c>
      <c r="G96" s="7" t="s">
        <v>94</v>
      </c>
      <c r="H96" s="7" t="s">
        <v>95</v>
      </c>
      <c r="I96" s="7" t="s">
        <v>46</v>
      </c>
      <c r="J96" s="7" t="s">
        <v>48</v>
      </c>
      <c r="K96" s="7" t="s">
        <v>96</v>
      </c>
      <c r="L96" s="7" t="s">
        <v>103</v>
      </c>
      <c r="M96" s="10" t="s">
        <v>12</v>
      </c>
      <c r="N96" s="11" t="s">
        <v>106</v>
      </c>
      <c r="O96" s="11" t="s">
        <v>52</v>
      </c>
      <c r="P96" s="11" t="s">
        <v>107</v>
      </c>
      <c r="Q96" s="10"/>
      <c r="R96" s="10"/>
      <c r="S96" s="10"/>
      <c r="T96" s="10"/>
      <c r="U96" s="12"/>
    </row>
    <row r="97" spans="1:21" ht="54" customHeight="1" x14ac:dyDescent="0.3">
      <c r="A97" s="11" t="s">
        <v>378</v>
      </c>
      <c r="B97" s="11" t="s">
        <v>105</v>
      </c>
      <c r="C97" s="7" t="s">
        <v>44</v>
      </c>
      <c r="D97" s="8">
        <v>6.4470672607421875</v>
      </c>
      <c r="E97" s="7" t="s">
        <v>102</v>
      </c>
      <c r="F97" s="9">
        <v>92</v>
      </c>
      <c r="G97" s="7" t="s">
        <v>94</v>
      </c>
      <c r="H97" s="7" t="s">
        <v>95</v>
      </c>
      <c r="I97" s="7" t="s">
        <v>46</v>
      </c>
      <c r="J97" s="7" t="s">
        <v>48</v>
      </c>
      <c r="K97" s="7" t="s">
        <v>96</v>
      </c>
      <c r="L97" s="7" t="s">
        <v>103</v>
      </c>
      <c r="M97" s="10" t="s">
        <v>12</v>
      </c>
      <c r="N97" s="11" t="s">
        <v>106</v>
      </c>
      <c r="O97" s="11" t="s">
        <v>52</v>
      </c>
      <c r="P97" s="11" t="s">
        <v>107</v>
      </c>
      <c r="Q97" s="10"/>
      <c r="R97" s="10"/>
      <c r="S97" s="10"/>
      <c r="T97" s="10"/>
      <c r="U97" s="12"/>
    </row>
    <row r="98" spans="1:21" ht="54" customHeight="1" x14ac:dyDescent="0.3">
      <c r="A98" s="11" t="s">
        <v>379</v>
      </c>
      <c r="B98" s="11" t="s">
        <v>109</v>
      </c>
      <c r="C98" s="7" t="s">
        <v>44</v>
      </c>
      <c r="D98" s="8">
        <v>7.3810672760009766</v>
      </c>
      <c r="E98" s="7" t="s">
        <v>110</v>
      </c>
      <c r="F98" s="9">
        <v>92</v>
      </c>
      <c r="G98" s="7" t="s">
        <v>94</v>
      </c>
      <c r="H98" s="7" t="s">
        <v>95</v>
      </c>
      <c r="I98" s="7" t="s">
        <v>46</v>
      </c>
      <c r="J98" s="7" t="s">
        <v>57</v>
      </c>
      <c r="K98" s="7" t="s">
        <v>96</v>
      </c>
      <c r="L98" s="7" t="s">
        <v>111</v>
      </c>
      <c r="M98" s="10" t="s">
        <v>12</v>
      </c>
      <c r="N98" s="11" t="s">
        <v>343</v>
      </c>
      <c r="O98" s="11" t="s">
        <v>52</v>
      </c>
      <c r="P98" s="11" t="s">
        <v>107</v>
      </c>
      <c r="Q98" s="10"/>
      <c r="R98" s="10"/>
      <c r="S98" s="10"/>
      <c r="T98" s="10"/>
      <c r="U98" s="12"/>
    </row>
    <row r="99" spans="1:21" ht="54" customHeight="1" x14ac:dyDescent="0.3">
      <c r="A99" s="11" t="s">
        <v>380</v>
      </c>
      <c r="B99" s="11" t="s">
        <v>113</v>
      </c>
      <c r="C99" s="7" t="s">
        <v>44</v>
      </c>
      <c r="D99" s="8">
        <v>20.424659729003906</v>
      </c>
      <c r="E99" s="7" t="s">
        <v>93</v>
      </c>
      <c r="F99" s="9">
        <v>87</v>
      </c>
      <c r="G99" s="7" t="s">
        <v>94</v>
      </c>
      <c r="H99" s="7" t="s">
        <v>95</v>
      </c>
      <c r="I99" s="7" t="s">
        <v>46</v>
      </c>
      <c r="J99" s="7" t="s">
        <v>48</v>
      </c>
      <c r="K99" s="7" t="s">
        <v>96</v>
      </c>
      <c r="L99" s="7"/>
      <c r="M99" s="10" t="s">
        <v>12</v>
      </c>
      <c r="N99" s="11" t="s">
        <v>114</v>
      </c>
      <c r="O99" s="11" t="s">
        <v>60</v>
      </c>
      <c r="P99" s="11" t="s">
        <v>107</v>
      </c>
      <c r="Q99" s="10"/>
      <c r="R99" s="10"/>
      <c r="S99" s="10"/>
      <c r="T99" s="10"/>
      <c r="U99" s="12"/>
    </row>
    <row r="100" spans="1:21" ht="54" customHeight="1" x14ac:dyDescent="0.3">
      <c r="A100" s="11" t="s">
        <v>381</v>
      </c>
      <c r="B100" s="11" t="s">
        <v>382</v>
      </c>
      <c r="C100" s="7" t="s">
        <v>44</v>
      </c>
      <c r="D100" s="8">
        <v>5.2903804779052734</v>
      </c>
      <c r="E100" s="7" t="s">
        <v>383</v>
      </c>
      <c r="F100" s="9">
        <v>309</v>
      </c>
      <c r="G100" s="7" t="s">
        <v>94</v>
      </c>
      <c r="H100" s="7" t="s">
        <v>95</v>
      </c>
      <c r="I100" s="7" t="s">
        <v>46</v>
      </c>
      <c r="J100" s="7" t="s">
        <v>57</v>
      </c>
      <c r="K100" s="7" t="s">
        <v>384</v>
      </c>
      <c r="L100" s="7" t="s">
        <v>385</v>
      </c>
      <c r="M100" s="10" t="s">
        <v>12</v>
      </c>
      <c r="N100" s="11" t="s">
        <v>98</v>
      </c>
      <c r="O100" s="11" t="s">
        <v>76</v>
      </c>
      <c r="P100" s="11" t="s">
        <v>99</v>
      </c>
      <c r="Q100" s="10"/>
      <c r="R100" s="10"/>
      <c r="S100" s="10"/>
      <c r="T100" s="10"/>
      <c r="U100" s="12"/>
    </row>
    <row r="101" spans="1:21" ht="54" customHeight="1" x14ac:dyDescent="0.3">
      <c r="A101" s="11" t="s">
        <v>386</v>
      </c>
      <c r="B101" s="11" t="s">
        <v>387</v>
      </c>
      <c r="C101" s="7" t="s">
        <v>44</v>
      </c>
      <c r="D101" s="8">
        <v>2.7114095687866211</v>
      </c>
      <c r="E101" s="7" t="s">
        <v>388</v>
      </c>
      <c r="F101" s="9">
        <v>41</v>
      </c>
      <c r="G101" s="7" t="s">
        <v>94</v>
      </c>
      <c r="H101" s="7" t="s">
        <v>95</v>
      </c>
      <c r="I101" s="7" t="s">
        <v>46</v>
      </c>
      <c r="J101" s="7" t="s">
        <v>48</v>
      </c>
      <c r="K101" s="7"/>
      <c r="L101" s="7"/>
      <c r="M101" s="10" t="s">
        <v>12</v>
      </c>
      <c r="N101" s="11" t="s">
        <v>124</v>
      </c>
      <c r="O101" s="11" t="s">
        <v>60</v>
      </c>
      <c r="P101" s="11" t="s">
        <v>99</v>
      </c>
      <c r="Q101" s="10"/>
      <c r="R101" s="10"/>
      <c r="S101" s="10"/>
      <c r="T101" s="10"/>
      <c r="U101" s="12"/>
    </row>
    <row r="102" spans="1:21" ht="54" customHeight="1" x14ac:dyDescent="0.3">
      <c r="A102" s="11" t="s">
        <v>389</v>
      </c>
      <c r="B102" s="11" t="s">
        <v>390</v>
      </c>
      <c r="C102" s="7" t="s">
        <v>391</v>
      </c>
      <c r="D102" s="8">
        <v>0.10302734375</v>
      </c>
      <c r="E102" s="7" t="s">
        <v>392</v>
      </c>
      <c r="F102" s="9">
        <v>0</v>
      </c>
      <c r="G102" s="7" t="s">
        <v>47</v>
      </c>
      <c r="H102" s="7" t="s">
        <v>47</v>
      </c>
      <c r="I102" s="7" t="s">
        <v>47</v>
      </c>
      <c r="J102" s="7" t="s">
        <v>152</v>
      </c>
      <c r="K102" s="7"/>
      <c r="L102" s="7" t="s">
        <v>393</v>
      </c>
      <c r="M102" s="10" t="s">
        <v>12</v>
      </c>
      <c r="N102" s="11" t="s">
        <v>51</v>
      </c>
      <c r="O102" s="11" t="s">
        <v>60</v>
      </c>
      <c r="P102" s="11" t="s">
        <v>53</v>
      </c>
      <c r="Q102" s="10"/>
      <c r="R102" s="10"/>
      <c r="S102" s="10"/>
      <c r="T102" s="10"/>
      <c r="U102" s="12"/>
    </row>
    <row r="103" spans="1:21" ht="54" customHeight="1" x14ac:dyDescent="0.3">
      <c r="A103" s="11" t="s">
        <v>394</v>
      </c>
      <c r="B103" s="11" t="s">
        <v>395</v>
      </c>
      <c r="C103" s="7" t="s">
        <v>44</v>
      </c>
      <c r="D103" s="8">
        <v>6.5106582641601563</v>
      </c>
      <c r="E103" s="7" t="s">
        <v>396</v>
      </c>
      <c r="F103" s="9">
        <v>40</v>
      </c>
      <c r="G103" s="7" t="s">
        <v>94</v>
      </c>
      <c r="H103" s="7" t="s">
        <v>95</v>
      </c>
      <c r="I103" s="7" t="s">
        <v>46</v>
      </c>
      <c r="J103" s="7" t="s">
        <v>48</v>
      </c>
      <c r="K103" s="7"/>
      <c r="L103" s="7" t="s">
        <v>393</v>
      </c>
      <c r="M103" s="10" t="s">
        <v>12</v>
      </c>
      <c r="N103" s="11" t="s">
        <v>98</v>
      </c>
      <c r="O103" s="11" t="s">
        <v>60</v>
      </c>
      <c r="P103" s="11" t="s">
        <v>99</v>
      </c>
      <c r="Q103" s="10"/>
      <c r="R103" s="10"/>
      <c r="S103" s="10"/>
      <c r="T103" s="10"/>
      <c r="U103" s="12"/>
    </row>
    <row r="104" spans="1:21" ht="54" customHeight="1" x14ac:dyDescent="0.3">
      <c r="A104" s="11" t="s">
        <v>397</v>
      </c>
      <c r="B104" s="11" t="s">
        <v>398</v>
      </c>
      <c r="C104" s="7" t="s">
        <v>44</v>
      </c>
      <c r="D104" s="8">
        <v>6.3570022583007813E-2</v>
      </c>
      <c r="E104" s="7" t="s">
        <v>399</v>
      </c>
      <c r="F104" s="9">
        <v>1</v>
      </c>
      <c r="G104" s="7" t="s">
        <v>46</v>
      </c>
      <c r="H104" s="7" t="s">
        <v>47</v>
      </c>
      <c r="I104" s="7" t="s">
        <v>47</v>
      </c>
      <c r="J104" s="7" t="s">
        <v>48</v>
      </c>
      <c r="K104" s="7"/>
      <c r="L104" s="7" t="s">
        <v>393</v>
      </c>
      <c r="M104" s="10" t="s">
        <v>12</v>
      </c>
      <c r="N104" s="11" t="s">
        <v>51</v>
      </c>
      <c r="O104" s="11" t="s">
        <v>400</v>
      </c>
      <c r="P104" s="11" t="s">
        <v>53</v>
      </c>
      <c r="Q104" s="10"/>
      <c r="R104" s="10"/>
      <c r="S104" s="10"/>
      <c r="T104" s="10"/>
      <c r="U104" s="12"/>
    </row>
    <row r="105" spans="1:21" ht="54" customHeight="1" x14ac:dyDescent="0.3">
      <c r="A105" s="11" t="s">
        <v>401</v>
      </c>
      <c r="B105" s="11" t="s">
        <v>402</v>
      </c>
      <c r="C105" s="7" t="s">
        <v>44</v>
      </c>
      <c r="D105" s="8">
        <v>1.1450309753417969</v>
      </c>
      <c r="E105" s="7" t="s">
        <v>403</v>
      </c>
      <c r="F105" s="9">
        <v>108</v>
      </c>
      <c r="G105" s="7" t="s">
        <v>94</v>
      </c>
      <c r="H105" s="7" t="s">
        <v>95</v>
      </c>
      <c r="I105" s="7" t="s">
        <v>46</v>
      </c>
      <c r="J105" s="7" t="s">
        <v>48</v>
      </c>
      <c r="K105" s="7" t="s">
        <v>404</v>
      </c>
      <c r="L105" s="7" t="s">
        <v>405</v>
      </c>
      <c r="M105" s="10" t="s">
        <v>12</v>
      </c>
      <c r="N105" s="11" t="s">
        <v>98</v>
      </c>
      <c r="O105" s="11" t="s">
        <v>60</v>
      </c>
      <c r="P105" s="11" t="s">
        <v>99</v>
      </c>
      <c r="Q105" s="10"/>
      <c r="R105" s="10"/>
      <c r="S105" s="10"/>
      <c r="T105" s="10"/>
      <c r="U105" s="12"/>
    </row>
    <row r="106" spans="1:21" ht="54" customHeight="1" x14ac:dyDescent="0.3">
      <c r="A106" s="11" t="s">
        <v>406</v>
      </c>
      <c r="B106" s="11" t="s">
        <v>407</v>
      </c>
      <c r="C106" s="7" t="s">
        <v>44</v>
      </c>
      <c r="D106" s="8">
        <v>0.28937721252441406</v>
      </c>
      <c r="E106" s="7" t="s">
        <v>408</v>
      </c>
      <c r="F106" s="9">
        <v>22</v>
      </c>
      <c r="G106" s="7" t="s">
        <v>46</v>
      </c>
      <c r="H106" s="7" t="s">
        <v>47</v>
      </c>
      <c r="I106" s="7" t="s">
        <v>46</v>
      </c>
      <c r="J106" s="7" t="s">
        <v>48</v>
      </c>
      <c r="K106" s="7" t="s">
        <v>404</v>
      </c>
      <c r="L106" s="7" t="s">
        <v>409</v>
      </c>
      <c r="M106" s="10" t="s">
        <v>12</v>
      </c>
      <c r="N106" s="11" t="s">
        <v>51</v>
      </c>
      <c r="O106" s="11" t="s">
        <v>60</v>
      </c>
      <c r="P106" s="11" t="s">
        <v>53</v>
      </c>
      <c r="Q106" s="10"/>
      <c r="R106" s="10"/>
      <c r="S106" s="10"/>
      <c r="T106" s="10"/>
      <c r="U106" s="12"/>
    </row>
    <row r="107" spans="1:21" ht="54" customHeight="1" x14ac:dyDescent="0.3">
      <c r="A107" s="11" t="s">
        <v>410</v>
      </c>
      <c r="B107" s="11" t="s">
        <v>411</v>
      </c>
      <c r="C107" s="7" t="s">
        <v>44</v>
      </c>
      <c r="D107" s="8">
        <v>1.1450309753417969</v>
      </c>
      <c r="E107" s="7" t="s">
        <v>403</v>
      </c>
      <c r="F107" s="9">
        <v>108</v>
      </c>
      <c r="G107" s="7" t="s">
        <v>94</v>
      </c>
      <c r="H107" s="7" t="s">
        <v>95</v>
      </c>
      <c r="I107" s="7" t="s">
        <v>46</v>
      </c>
      <c r="J107" s="7" t="s">
        <v>48</v>
      </c>
      <c r="K107" s="7" t="s">
        <v>404</v>
      </c>
      <c r="L107" s="7" t="s">
        <v>405</v>
      </c>
      <c r="M107" s="10" t="s">
        <v>12</v>
      </c>
      <c r="N107" s="11" t="s">
        <v>412</v>
      </c>
      <c r="O107" s="11" t="s">
        <v>60</v>
      </c>
      <c r="P107" s="11" t="s">
        <v>107</v>
      </c>
      <c r="Q107" s="10"/>
      <c r="R107" s="10"/>
      <c r="S107" s="10"/>
      <c r="T107" s="10"/>
      <c r="U107" s="12"/>
    </row>
    <row r="108" spans="1:21" ht="54" customHeight="1" x14ac:dyDescent="0.3">
      <c r="A108" s="11" t="s">
        <v>413</v>
      </c>
      <c r="B108" s="11" t="s">
        <v>414</v>
      </c>
      <c r="C108" s="7" t="s">
        <v>44</v>
      </c>
      <c r="D108" s="8">
        <v>3.5499076843261719</v>
      </c>
      <c r="E108" s="7" t="s">
        <v>415</v>
      </c>
      <c r="F108" s="9">
        <v>47</v>
      </c>
      <c r="G108" s="7" t="s">
        <v>47</v>
      </c>
      <c r="H108" s="7" t="s">
        <v>95</v>
      </c>
      <c r="I108" s="7" t="s">
        <v>46</v>
      </c>
      <c r="J108" s="7" t="s">
        <v>152</v>
      </c>
      <c r="K108" s="7" t="s">
        <v>404</v>
      </c>
      <c r="L108" s="7" t="s">
        <v>416</v>
      </c>
      <c r="M108" s="10" t="s">
        <v>12</v>
      </c>
      <c r="N108" s="11" t="s">
        <v>290</v>
      </c>
      <c r="O108" s="11" t="s">
        <v>76</v>
      </c>
      <c r="P108" s="11" t="s">
        <v>99</v>
      </c>
      <c r="Q108" s="10"/>
      <c r="R108" s="10"/>
      <c r="S108" s="10"/>
      <c r="T108" s="10"/>
      <c r="U108" s="12"/>
    </row>
    <row r="109" spans="1:21" ht="54" customHeight="1" x14ac:dyDescent="0.3">
      <c r="A109" s="11" t="s">
        <v>417</v>
      </c>
      <c r="B109" s="11" t="s">
        <v>418</v>
      </c>
      <c r="C109" s="7" t="s">
        <v>44</v>
      </c>
      <c r="D109" s="8">
        <v>4.1357460021972656</v>
      </c>
      <c r="E109" s="7" t="s">
        <v>419</v>
      </c>
      <c r="F109" s="9">
        <v>202</v>
      </c>
      <c r="G109" s="7" t="s">
        <v>94</v>
      </c>
      <c r="H109" s="7" t="s">
        <v>95</v>
      </c>
      <c r="I109" s="7" t="s">
        <v>46</v>
      </c>
      <c r="J109" s="7" t="s">
        <v>57</v>
      </c>
      <c r="K109" s="7"/>
      <c r="L109" s="7"/>
      <c r="M109" s="10" t="s">
        <v>12</v>
      </c>
      <c r="N109" s="11" t="s">
        <v>124</v>
      </c>
      <c r="O109" s="11" t="s">
        <v>60</v>
      </c>
      <c r="P109" s="11" t="s">
        <v>99</v>
      </c>
      <c r="Q109" s="10"/>
      <c r="R109" s="10"/>
      <c r="S109" s="10"/>
      <c r="T109" s="10"/>
      <c r="U109" s="12"/>
    </row>
    <row r="110" spans="1:21" ht="54" customHeight="1" x14ac:dyDescent="0.3">
      <c r="A110" s="11" t="s">
        <v>420</v>
      </c>
      <c r="B110" s="11" t="s">
        <v>421</v>
      </c>
      <c r="C110" s="7" t="s">
        <v>44</v>
      </c>
      <c r="D110" s="8">
        <v>0.6108245849609375</v>
      </c>
      <c r="E110" s="7" t="s">
        <v>422</v>
      </c>
      <c r="F110" s="9">
        <v>14</v>
      </c>
      <c r="G110" s="7" t="s">
        <v>46</v>
      </c>
      <c r="H110" s="7" t="s">
        <v>47</v>
      </c>
      <c r="I110" s="7" t="s">
        <v>46</v>
      </c>
      <c r="J110" s="7" t="s">
        <v>57</v>
      </c>
      <c r="K110" s="7" t="s">
        <v>384</v>
      </c>
      <c r="L110" s="7" t="s">
        <v>385</v>
      </c>
      <c r="M110" s="10" t="s">
        <v>12</v>
      </c>
      <c r="N110" s="11" t="s">
        <v>354</v>
      </c>
      <c r="O110" s="11" t="s">
        <v>423</v>
      </c>
      <c r="P110" s="11" t="s">
        <v>355</v>
      </c>
      <c r="Q110" s="10"/>
      <c r="R110" s="10"/>
      <c r="S110" s="10"/>
      <c r="T110" s="10"/>
      <c r="U110" s="12"/>
    </row>
    <row r="111" spans="1:21" ht="54" customHeight="1" x14ac:dyDescent="0.3">
      <c r="A111" s="11" t="s">
        <v>424</v>
      </c>
      <c r="B111" s="11" t="s">
        <v>425</v>
      </c>
      <c r="C111" s="7" t="s">
        <v>44</v>
      </c>
      <c r="D111" s="8">
        <v>0.19448757171630859</v>
      </c>
      <c r="E111" s="7" t="s">
        <v>426</v>
      </c>
      <c r="F111" s="9">
        <v>2</v>
      </c>
      <c r="G111" s="7" t="s">
        <v>46</v>
      </c>
      <c r="H111" s="7" t="s">
        <v>47</v>
      </c>
      <c r="I111" s="7" t="s">
        <v>46</v>
      </c>
      <c r="J111" s="7" t="s">
        <v>48</v>
      </c>
      <c r="K111" s="7" t="s">
        <v>427</v>
      </c>
      <c r="L111" s="7" t="s">
        <v>428</v>
      </c>
      <c r="M111" s="10" t="s">
        <v>12</v>
      </c>
      <c r="N111" s="11" t="s">
        <v>51</v>
      </c>
      <c r="O111" s="11" t="s">
        <v>64</v>
      </c>
      <c r="P111" s="11" t="s">
        <v>53</v>
      </c>
      <c r="Q111" s="10"/>
      <c r="R111" s="10"/>
      <c r="S111" s="10"/>
      <c r="T111" s="10"/>
      <c r="U111" s="12"/>
    </row>
    <row r="112" spans="1:21" ht="54" customHeight="1" x14ac:dyDescent="0.3">
      <c r="A112" s="11" t="s">
        <v>429</v>
      </c>
      <c r="B112" s="11" t="s">
        <v>430</v>
      </c>
      <c r="C112" s="7" t="s">
        <v>44</v>
      </c>
      <c r="D112" s="8">
        <v>5.3518657684326172</v>
      </c>
      <c r="E112" s="7" t="s">
        <v>431</v>
      </c>
      <c r="F112" s="9">
        <v>274</v>
      </c>
      <c r="G112" s="7" t="s">
        <v>46</v>
      </c>
      <c r="H112" s="7" t="s">
        <v>47</v>
      </c>
      <c r="I112" s="7" t="s">
        <v>46</v>
      </c>
      <c r="J112" s="7" t="s">
        <v>48</v>
      </c>
      <c r="K112" s="7" t="s">
        <v>427</v>
      </c>
      <c r="L112" s="7" t="s">
        <v>428</v>
      </c>
      <c r="M112" s="10" t="s">
        <v>12</v>
      </c>
      <c r="N112" s="11" t="s">
        <v>51</v>
      </c>
      <c r="O112" s="11" t="s">
        <v>64</v>
      </c>
      <c r="P112" s="11" t="s">
        <v>53</v>
      </c>
      <c r="Q112" s="10"/>
      <c r="R112" s="10"/>
      <c r="S112" s="10"/>
      <c r="T112" s="10"/>
      <c r="U112" s="12"/>
    </row>
    <row r="113" spans="1:21" ht="54" customHeight="1" x14ac:dyDescent="0.3">
      <c r="A113" s="11" t="s">
        <v>432</v>
      </c>
      <c r="B113" s="11" t="s">
        <v>433</v>
      </c>
      <c r="C113" s="7" t="s">
        <v>44</v>
      </c>
      <c r="D113" s="8">
        <v>4.1357460021972656</v>
      </c>
      <c r="E113" s="7" t="s">
        <v>419</v>
      </c>
      <c r="F113" s="9">
        <v>202</v>
      </c>
      <c r="G113" s="7" t="s">
        <v>94</v>
      </c>
      <c r="H113" s="7" t="s">
        <v>95</v>
      </c>
      <c r="I113" s="7" t="s">
        <v>46</v>
      </c>
      <c r="J113" s="7" t="s">
        <v>57</v>
      </c>
      <c r="K113" s="7" t="s">
        <v>427</v>
      </c>
      <c r="L113" s="7" t="s">
        <v>428</v>
      </c>
      <c r="M113" s="10" t="s">
        <v>12</v>
      </c>
      <c r="N113" s="11" t="s">
        <v>434</v>
      </c>
      <c r="O113" s="11" t="s">
        <v>60</v>
      </c>
      <c r="P113" s="11" t="s">
        <v>107</v>
      </c>
      <c r="Q113" s="10"/>
      <c r="R113" s="10"/>
      <c r="S113" s="10"/>
      <c r="T113" s="10"/>
      <c r="U113" s="12"/>
    </row>
    <row r="114" spans="1:21" ht="54" customHeight="1" x14ac:dyDescent="0.3">
      <c r="A114" s="11" t="s">
        <v>435</v>
      </c>
      <c r="B114" s="11" t="s">
        <v>436</v>
      </c>
      <c r="C114" s="7" t="s">
        <v>44</v>
      </c>
      <c r="D114" s="8">
        <v>0.61442470550537109</v>
      </c>
      <c r="E114" s="7" t="s">
        <v>437</v>
      </c>
      <c r="F114" s="9">
        <v>6</v>
      </c>
      <c r="G114" s="7" t="s">
        <v>46</v>
      </c>
      <c r="H114" s="7" t="s">
        <v>47</v>
      </c>
      <c r="I114" s="7" t="s">
        <v>46</v>
      </c>
      <c r="J114" s="7" t="s">
        <v>48</v>
      </c>
      <c r="K114" s="7" t="s">
        <v>427</v>
      </c>
      <c r="L114" s="7" t="s">
        <v>428</v>
      </c>
      <c r="M114" s="10" t="s">
        <v>12</v>
      </c>
      <c r="N114" s="11" t="s">
        <v>51</v>
      </c>
      <c r="O114" s="11" t="s">
        <v>60</v>
      </c>
      <c r="P114" s="11" t="s">
        <v>53</v>
      </c>
      <c r="Q114" s="10"/>
      <c r="R114" s="10"/>
      <c r="S114" s="10"/>
      <c r="T114" s="10"/>
      <c r="U114" s="12"/>
    </row>
    <row r="115" spans="1:21" ht="54" customHeight="1" x14ac:dyDescent="0.3">
      <c r="A115" s="11" t="s">
        <v>438</v>
      </c>
      <c r="B115" s="11" t="s">
        <v>439</v>
      </c>
      <c r="C115" s="7" t="s">
        <v>44</v>
      </c>
      <c r="D115" s="8">
        <v>3.4876308441162109</v>
      </c>
      <c r="E115" s="7" t="s">
        <v>440</v>
      </c>
      <c r="F115" s="9">
        <v>68</v>
      </c>
      <c r="G115" s="7" t="s">
        <v>46</v>
      </c>
      <c r="H115" s="7" t="s">
        <v>47</v>
      </c>
      <c r="I115" s="7" t="s">
        <v>46</v>
      </c>
      <c r="J115" s="7" t="s">
        <v>48</v>
      </c>
      <c r="K115" s="7" t="s">
        <v>441</v>
      </c>
      <c r="L115" s="7" t="s">
        <v>442</v>
      </c>
      <c r="M115" s="10" t="s">
        <v>12</v>
      </c>
      <c r="N115" s="11" t="s">
        <v>51</v>
      </c>
      <c r="O115" s="11" t="s">
        <v>60</v>
      </c>
      <c r="P115" s="11" t="s">
        <v>53</v>
      </c>
      <c r="Q115" s="10"/>
      <c r="R115" s="10"/>
      <c r="S115" s="10"/>
      <c r="T115" s="10"/>
      <c r="U115" s="12"/>
    </row>
    <row r="116" spans="1:21" ht="54" customHeight="1" x14ac:dyDescent="0.3">
      <c r="A116" s="11" t="s">
        <v>443</v>
      </c>
      <c r="B116" s="11" t="s">
        <v>444</v>
      </c>
      <c r="C116" s="7" t="s">
        <v>44</v>
      </c>
      <c r="D116" s="8">
        <v>0.77476406097412109</v>
      </c>
      <c r="E116" s="7" t="s">
        <v>445</v>
      </c>
      <c r="F116" s="9">
        <v>1</v>
      </c>
      <c r="G116" s="7" t="s">
        <v>46</v>
      </c>
      <c r="H116" s="7" t="s">
        <v>47</v>
      </c>
      <c r="I116" s="7" t="s">
        <v>46</v>
      </c>
      <c r="J116" s="7" t="s">
        <v>48</v>
      </c>
      <c r="K116" s="7" t="s">
        <v>446</v>
      </c>
      <c r="L116" s="7"/>
      <c r="M116" s="10" t="s">
        <v>12</v>
      </c>
      <c r="N116" s="11" t="s">
        <v>124</v>
      </c>
      <c r="O116" s="11" t="s">
        <v>60</v>
      </c>
      <c r="P116" s="11" t="s">
        <v>53</v>
      </c>
      <c r="Q116" s="10"/>
      <c r="R116" s="10"/>
      <c r="S116" s="10"/>
      <c r="T116" s="10"/>
      <c r="U116" s="12"/>
    </row>
    <row r="117" spans="1:21" ht="54" customHeight="1" x14ac:dyDescent="0.3">
      <c r="A117" s="11" t="s">
        <v>447</v>
      </c>
      <c r="B117" s="11" t="s">
        <v>448</v>
      </c>
      <c r="C117" s="7" t="s">
        <v>44</v>
      </c>
      <c r="D117" s="8">
        <v>0.2299346923828125</v>
      </c>
      <c r="E117" s="7" t="s">
        <v>449</v>
      </c>
      <c r="F117" s="9">
        <v>1</v>
      </c>
      <c r="G117" s="7" t="s">
        <v>46</v>
      </c>
      <c r="H117" s="7" t="s">
        <v>47</v>
      </c>
      <c r="I117" s="7" t="s">
        <v>46</v>
      </c>
      <c r="J117" s="7" t="s">
        <v>48</v>
      </c>
      <c r="K117" s="7" t="s">
        <v>446</v>
      </c>
      <c r="L117" s="7"/>
      <c r="M117" s="10" t="s">
        <v>12</v>
      </c>
      <c r="N117" s="11" t="s">
        <v>124</v>
      </c>
      <c r="O117" s="11" t="s">
        <v>60</v>
      </c>
      <c r="P117" s="11" t="s">
        <v>53</v>
      </c>
      <c r="Q117" s="10"/>
      <c r="R117" s="10"/>
      <c r="S117" s="10"/>
      <c r="T117" s="10"/>
      <c r="U117" s="12"/>
    </row>
    <row r="118" spans="1:21" ht="54" customHeight="1" x14ac:dyDescent="0.3">
      <c r="A118" s="11" t="s">
        <v>450</v>
      </c>
      <c r="B118" s="11" t="s">
        <v>451</v>
      </c>
      <c r="C118" s="7" t="s">
        <v>44</v>
      </c>
      <c r="D118" s="8">
        <v>2.0497207641601563</v>
      </c>
      <c r="E118" s="7" t="s">
        <v>452</v>
      </c>
      <c r="F118" s="9">
        <v>1</v>
      </c>
      <c r="G118" s="7" t="s">
        <v>46</v>
      </c>
      <c r="H118" s="7" t="s">
        <v>47</v>
      </c>
      <c r="I118" s="7" t="s">
        <v>46</v>
      </c>
      <c r="J118" s="7" t="s">
        <v>48</v>
      </c>
      <c r="K118" s="7" t="s">
        <v>446</v>
      </c>
      <c r="L118" s="7"/>
      <c r="M118" s="10" t="s">
        <v>12</v>
      </c>
      <c r="N118" s="11" t="s">
        <v>124</v>
      </c>
      <c r="O118" s="11" t="s">
        <v>60</v>
      </c>
      <c r="P118" s="11" t="s">
        <v>53</v>
      </c>
      <c r="Q118" s="10"/>
      <c r="R118" s="10"/>
      <c r="S118" s="10"/>
      <c r="T118" s="10"/>
      <c r="U118" s="12"/>
    </row>
    <row r="119" spans="1:21" ht="54" customHeight="1" x14ac:dyDescent="0.3">
      <c r="A119" s="11" t="s">
        <v>453</v>
      </c>
      <c r="B119" s="11" t="s">
        <v>454</v>
      </c>
      <c r="C119" s="7" t="s">
        <v>44</v>
      </c>
      <c r="D119" s="8">
        <v>7.8873071670532227</v>
      </c>
      <c r="E119" s="7" t="s">
        <v>455</v>
      </c>
      <c r="F119" s="9">
        <v>105</v>
      </c>
      <c r="G119" s="7" t="s">
        <v>94</v>
      </c>
      <c r="H119" s="7" t="s">
        <v>95</v>
      </c>
      <c r="I119" s="7" t="s">
        <v>46</v>
      </c>
      <c r="J119" s="7" t="s">
        <v>48</v>
      </c>
      <c r="K119" s="7" t="s">
        <v>446</v>
      </c>
      <c r="L119" s="7" t="s">
        <v>456</v>
      </c>
      <c r="M119" s="10" t="s">
        <v>12</v>
      </c>
      <c r="N119" s="11" t="s">
        <v>98</v>
      </c>
      <c r="O119" s="11" t="s">
        <v>64</v>
      </c>
      <c r="P119" s="11" t="s">
        <v>99</v>
      </c>
      <c r="Q119" s="10"/>
      <c r="R119" s="10"/>
      <c r="S119" s="10"/>
      <c r="T119" s="10"/>
      <c r="U119" s="12"/>
    </row>
    <row r="120" spans="1:21" ht="54" customHeight="1" x14ac:dyDescent="0.3">
      <c r="A120" s="11" t="s">
        <v>457</v>
      </c>
      <c r="B120" s="11" t="s">
        <v>458</v>
      </c>
      <c r="C120" s="7" t="s">
        <v>44</v>
      </c>
      <c r="D120" s="8">
        <v>0.93658256530761719</v>
      </c>
      <c r="E120" s="7" t="s">
        <v>459</v>
      </c>
      <c r="F120" s="9">
        <v>22</v>
      </c>
      <c r="G120" s="7" t="s">
        <v>46</v>
      </c>
      <c r="H120" s="7" t="s">
        <v>47</v>
      </c>
      <c r="I120" s="7" t="s">
        <v>46</v>
      </c>
      <c r="J120" s="7" t="s">
        <v>48</v>
      </c>
      <c r="K120" s="7" t="s">
        <v>460</v>
      </c>
      <c r="L120" s="7" t="s">
        <v>461</v>
      </c>
      <c r="M120" s="10" t="s">
        <v>12</v>
      </c>
      <c r="N120" s="11" t="s">
        <v>51</v>
      </c>
      <c r="O120" s="11" t="s">
        <v>462</v>
      </c>
      <c r="P120" s="11" t="s">
        <v>53</v>
      </c>
      <c r="Q120" s="10"/>
      <c r="R120" s="10"/>
      <c r="S120" s="10"/>
      <c r="T120" s="10"/>
      <c r="U120" s="12"/>
    </row>
    <row r="121" spans="1:21" ht="54" customHeight="1" x14ac:dyDescent="0.3">
      <c r="A121" s="11" t="s">
        <v>463</v>
      </c>
      <c r="B121" s="11" t="s">
        <v>464</v>
      </c>
      <c r="C121" s="7" t="s">
        <v>44</v>
      </c>
      <c r="D121" s="8">
        <v>10.609726905822754</v>
      </c>
      <c r="E121" s="7" t="s">
        <v>465</v>
      </c>
      <c r="F121" s="9">
        <v>326</v>
      </c>
      <c r="G121" s="7" t="s">
        <v>46</v>
      </c>
      <c r="H121" s="7" t="s">
        <v>47</v>
      </c>
      <c r="I121" s="7" t="s">
        <v>46</v>
      </c>
      <c r="J121" s="7" t="s">
        <v>48</v>
      </c>
      <c r="K121" s="7" t="s">
        <v>427</v>
      </c>
      <c r="L121" s="7" t="s">
        <v>428</v>
      </c>
      <c r="M121" s="10" t="s">
        <v>12</v>
      </c>
      <c r="N121" s="11" t="s">
        <v>51</v>
      </c>
      <c r="O121" s="11" t="s">
        <v>52</v>
      </c>
      <c r="P121" s="11" t="s">
        <v>53</v>
      </c>
      <c r="Q121" s="10"/>
      <c r="R121" s="10"/>
      <c r="S121" s="10"/>
      <c r="T121" s="10"/>
      <c r="U121" s="12"/>
    </row>
    <row r="122" spans="1:21" ht="54" customHeight="1" x14ac:dyDescent="0.3">
      <c r="A122" s="11" t="s">
        <v>466</v>
      </c>
      <c r="B122" s="11" t="s">
        <v>467</v>
      </c>
      <c r="C122" s="7" t="s">
        <v>44</v>
      </c>
      <c r="D122" s="8">
        <v>4.1357460021972656</v>
      </c>
      <c r="E122" s="7" t="s">
        <v>419</v>
      </c>
      <c r="F122" s="9">
        <v>202</v>
      </c>
      <c r="G122" s="7" t="s">
        <v>94</v>
      </c>
      <c r="H122" s="7" t="s">
        <v>95</v>
      </c>
      <c r="I122" s="7" t="s">
        <v>46</v>
      </c>
      <c r="J122" s="7" t="s">
        <v>57</v>
      </c>
      <c r="K122" s="7" t="s">
        <v>427</v>
      </c>
      <c r="L122" s="7"/>
      <c r="M122" s="10" t="s">
        <v>12</v>
      </c>
      <c r="N122" s="11" t="s">
        <v>434</v>
      </c>
      <c r="O122" s="11" t="s">
        <v>52</v>
      </c>
      <c r="P122" s="11" t="s">
        <v>107</v>
      </c>
      <c r="Q122" s="10"/>
      <c r="R122" s="10"/>
      <c r="S122" s="10"/>
      <c r="T122" s="10"/>
      <c r="U122" s="12"/>
    </row>
    <row r="123" spans="1:21" ht="54" customHeight="1" x14ac:dyDescent="0.3">
      <c r="A123" s="11" t="s">
        <v>468</v>
      </c>
      <c r="B123" s="11" t="s">
        <v>469</v>
      </c>
      <c r="C123" s="7" t="s">
        <v>44</v>
      </c>
      <c r="D123" s="8">
        <v>4.1357460021972656</v>
      </c>
      <c r="E123" s="7" t="s">
        <v>419</v>
      </c>
      <c r="F123" s="9">
        <v>202</v>
      </c>
      <c r="G123" s="7" t="s">
        <v>94</v>
      </c>
      <c r="H123" s="7" t="s">
        <v>95</v>
      </c>
      <c r="I123" s="7" t="s">
        <v>46</v>
      </c>
      <c r="J123" s="7" t="s">
        <v>57</v>
      </c>
      <c r="K123" s="7" t="s">
        <v>427</v>
      </c>
      <c r="L123" s="7"/>
      <c r="M123" s="10" t="s">
        <v>12</v>
      </c>
      <c r="N123" s="11" t="s">
        <v>434</v>
      </c>
      <c r="O123" s="11" t="s">
        <v>52</v>
      </c>
      <c r="P123" s="11" t="s">
        <v>107</v>
      </c>
      <c r="Q123" s="10"/>
      <c r="R123" s="10"/>
      <c r="S123" s="10"/>
      <c r="T123" s="10"/>
      <c r="U123" s="12"/>
    </row>
    <row r="124" spans="1:21" ht="54" customHeight="1" x14ac:dyDescent="0.3">
      <c r="A124" s="11" t="s">
        <v>470</v>
      </c>
      <c r="B124" s="11" t="s">
        <v>471</v>
      </c>
      <c r="C124" s="7" t="s">
        <v>44</v>
      </c>
      <c r="D124" s="8">
        <v>11.823068618774414</v>
      </c>
      <c r="E124" s="7" t="s">
        <v>472</v>
      </c>
      <c r="F124" s="9">
        <v>154</v>
      </c>
      <c r="G124" s="7" t="s">
        <v>94</v>
      </c>
      <c r="H124" s="7" t="s">
        <v>95</v>
      </c>
      <c r="I124" s="7" t="s">
        <v>46</v>
      </c>
      <c r="J124" s="7" t="s">
        <v>48</v>
      </c>
      <c r="K124" s="7" t="s">
        <v>460</v>
      </c>
      <c r="L124" s="7" t="s">
        <v>461</v>
      </c>
      <c r="M124" s="10" t="s">
        <v>12</v>
      </c>
      <c r="N124" s="11" t="s">
        <v>98</v>
      </c>
      <c r="O124" s="11" t="s">
        <v>52</v>
      </c>
      <c r="P124" s="11" t="s">
        <v>99</v>
      </c>
      <c r="Q124" s="10"/>
      <c r="R124" s="10"/>
      <c r="S124" s="10"/>
      <c r="T124" s="10"/>
      <c r="U124" s="12"/>
    </row>
    <row r="125" spans="1:21" ht="54" customHeight="1" x14ac:dyDescent="0.3">
      <c r="A125" s="11" t="s">
        <v>473</v>
      </c>
      <c r="B125" s="11" t="s">
        <v>474</v>
      </c>
      <c r="C125" s="7" t="s">
        <v>44</v>
      </c>
      <c r="D125" s="8">
        <v>0.93658256530761719</v>
      </c>
      <c r="E125" s="7" t="s">
        <v>459</v>
      </c>
      <c r="F125" s="9">
        <v>22</v>
      </c>
      <c r="G125" s="7" t="s">
        <v>46</v>
      </c>
      <c r="H125" s="7" t="s">
        <v>47</v>
      </c>
      <c r="I125" s="7" t="s">
        <v>46</v>
      </c>
      <c r="J125" s="7" t="s">
        <v>48</v>
      </c>
      <c r="K125" s="7" t="s">
        <v>460</v>
      </c>
      <c r="L125" s="7" t="s">
        <v>461</v>
      </c>
      <c r="M125" s="10" t="s">
        <v>12</v>
      </c>
      <c r="N125" s="11" t="s">
        <v>475</v>
      </c>
      <c r="O125" s="11" t="s">
        <v>60</v>
      </c>
      <c r="P125" s="11" t="s">
        <v>107</v>
      </c>
      <c r="Q125" s="10"/>
      <c r="R125" s="10"/>
      <c r="S125" s="10"/>
      <c r="T125" s="10"/>
      <c r="U125" s="12"/>
    </row>
    <row r="126" spans="1:21" ht="54" customHeight="1" x14ac:dyDescent="0.3">
      <c r="A126" s="11" t="s">
        <v>476</v>
      </c>
      <c r="B126" s="11" t="s">
        <v>477</v>
      </c>
      <c r="C126" s="7" t="s">
        <v>44</v>
      </c>
      <c r="D126" s="8">
        <v>1.2294778823852539</v>
      </c>
      <c r="E126" s="7" t="s">
        <v>478</v>
      </c>
      <c r="F126" s="9">
        <v>100</v>
      </c>
      <c r="G126" s="7" t="s">
        <v>46</v>
      </c>
      <c r="H126" s="7" t="s">
        <v>47</v>
      </c>
      <c r="I126" s="7" t="s">
        <v>46</v>
      </c>
      <c r="J126" s="7" t="s">
        <v>48</v>
      </c>
      <c r="K126" s="7" t="s">
        <v>460</v>
      </c>
      <c r="L126" s="7" t="s">
        <v>461</v>
      </c>
      <c r="M126" s="10" t="s">
        <v>12</v>
      </c>
      <c r="N126" s="11" t="s">
        <v>51</v>
      </c>
      <c r="O126" s="11" t="s">
        <v>52</v>
      </c>
      <c r="P126" s="11" t="s">
        <v>53</v>
      </c>
      <c r="Q126" s="10"/>
      <c r="R126" s="10"/>
      <c r="S126" s="10"/>
      <c r="T126" s="10"/>
      <c r="U126" s="12"/>
    </row>
    <row r="127" spans="1:21" ht="54" customHeight="1" x14ac:dyDescent="0.3">
      <c r="A127" s="11" t="s">
        <v>479</v>
      </c>
      <c r="B127" s="11" t="s">
        <v>480</v>
      </c>
      <c r="C127" s="7" t="s">
        <v>44</v>
      </c>
      <c r="D127" s="8">
        <v>0.25574970245361328</v>
      </c>
      <c r="E127" s="7" t="s">
        <v>481</v>
      </c>
      <c r="F127" s="9">
        <v>28</v>
      </c>
      <c r="G127" s="7" t="s">
        <v>46</v>
      </c>
      <c r="H127" s="7" t="s">
        <v>47</v>
      </c>
      <c r="I127" s="7" t="s">
        <v>46</v>
      </c>
      <c r="J127" s="7" t="s">
        <v>48</v>
      </c>
      <c r="K127" s="7" t="s">
        <v>460</v>
      </c>
      <c r="L127" s="7"/>
      <c r="M127" s="10" t="s">
        <v>12</v>
      </c>
      <c r="N127" s="11" t="s">
        <v>124</v>
      </c>
      <c r="O127" s="11" t="s">
        <v>60</v>
      </c>
      <c r="P127" s="11" t="s">
        <v>53</v>
      </c>
      <c r="Q127" s="10"/>
      <c r="R127" s="10"/>
      <c r="S127" s="10"/>
      <c r="T127" s="10"/>
      <c r="U127" s="12"/>
    </row>
    <row r="128" spans="1:21" ht="54" customHeight="1" x14ac:dyDescent="0.3">
      <c r="A128" s="11" t="s">
        <v>482</v>
      </c>
      <c r="B128" s="11" t="s">
        <v>483</v>
      </c>
      <c r="C128" s="7" t="s">
        <v>44</v>
      </c>
      <c r="D128" s="8">
        <v>10.135713577270508</v>
      </c>
      <c r="E128" s="7" t="s">
        <v>484</v>
      </c>
      <c r="F128" s="9">
        <v>102</v>
      </c>
      <c r="G128" s="7" t="s">
        <v>94</v>
      </c>
      <c r="H128" s="7" t="s">
        <v>95</v>
      </c>
      <c r="I128" s="7" t="s">
        <v>46</v>
      </c>
      <c r="J128" s="7" t="s">
        <v>48</v>
      </c>
      <c r="K128" s="7" t="s">
        <v>460</v>
      </c>
      <c r="L128" s="7" t="s">
        <v>461</v>
      </c>
      <c r="M128" s="10" t="s">
        <v>12</v>
      </c>
      <c r="N128" s="11" t="s">
        <v>354</v>
      </c>
      <c r="O128" s="11" t="s">
        <v>60</v>
      </c>
      <c r="P128" s="11" t="s">
        <v>355</v>
      </c>
      <c r="Q128" s="10"/>
      <c r="R128" s="10"/>
      <c r="S128" s="10"/>
      <c r="T128" s="10"/>
      <c r="U128" s="12"/>
    </row>
    <row r="129" spans="1:21" ht="54" customHeight="1" x14ac:dyDescent="0.3">
      <c r="A129" s="11" t="s">
        <v>485</v>
      </c>
      <c r="B129" s="11" t="s">
        <v>486</v>
      </c>
      <c r="C129" s="7" t="s">
        <v>44</v>
      </c>
      <c r="D129" s="8">
        <v>6.8261232376098633</v>
      </c>
      <c r="E129" s="7" t="s">
        <v>487</v>
      </c>
      <c r="F129" s="9">
        <v>89</v>
      </c>
      <c r="G129" s="7" t="s">
        <v>46</v>
      </c>
      <c r="H129" s="7" t="s">
        <v>47</v>
      </c>
      <c r="I129" s="7" t="s">
        <v>46</v>
      </c>
      <c r="J129" s="7" t="s">
        <v>152</v>
      </c>
      <c r="K129" s="7" t="s">
        <v>460</v>
      </c>
      <c r="L129" s="7" t="s">
        <v>461</v>
      </c>
      <c r="M129" s="10" t="s">
        <v>12</v>
      </c>
      <c r="N129" s="11" t="s">
        <v>51</v>
      </c>
      <c r="O129" s="11" t="s">
        <v>76</v>
      </c>
      <c r="P129" s="11" t="s">
        <v>53</v>
      </c>
      <c r="Q129" s="10"/>
      <c r="R129" s="10"/>
      <c r="S129" s="10"/>
      <c r="T129" s="10"/>
      <c r="U129" s="12"/>
    </row>
    <row r="130" spans="1:21" ht="54" customHeight="1" x14ac:dyDescent="0.3">
      <c r="A130" s="11" t="s">
        <v>488</v>
      </c>
      <c r="B130" s="11" t="s">
        <v>489</v>
      </c>
      <c r="C130" s="7" t="s">
        <v>490</v>
      </c>
      <c r="D130" s="8">
        <v>2.0775871276855469</v>
      </c>
      <c r="E130" s="7" t="s">
        <v>491</v>
      </c>
      <c r="F130" s="9">
        <v>0</v>
      </c>
      <c r="G130" s="7" t="s">
        <v>47</v>
      </c>
      <c r="H130" s="7" t="s">
        <v>47</v>
      </c>
      <c r="I130" s="7" t="s">
        <v>47</v>
      </c>
      <c r="J130" s="7" t="s">
        <v>152</v>
      </c>
      <c r="K130" s="7" t="s">
        <v>460</v>
      </c>
      <c r="L130" s="7"/>
      <c r="M130" s="10" t="s">
        <v>12</v>
      </c>
      <c r="N130" s="11" t="s">
        <v>124</v>
      </c>
      <c r="O130" s="11" t="s">
        <v>60</v>
      </c>
      <c r="P130" s="11" t="s">
        <v>53</v>
      </c>
      <c r="Q130" s="10"/>
      <c r="R130" s="10"/>
      <c r="S130" s="10"/>
      <c r="T130" s="10"/>
      <c r="U130" s="12"/>
    </row>
    <row r="131" spans="1:21" ht="54" customHeight="1" x14ac:dyDescent="0.3">
      <c r="A131" s="11" t="s">
        <v>492</v>
      </c>
      <c r="B131" s="11" t="s">
        <v>493</v>
      </c>
      <c r="C131" s="7" t="s">
        <v>44</v>
      </c>
      <c r="D131" s="8">
        <v>0.96741294860839844</v>
      </c>
      <c r="E131" s="7" t="s">
        <v>494</v>
      </c>
      <c r="F131" s="9">
        <v>32</v>
      </c>
      <c r="G131" s="7" t="s">
        <v>47</v>
      </c>
      <c r="H131" s="7" t="s">
        <v>95</v>
      </c>
      <c r="I131" s="7" t="s">
        <v>46</v>
      </c>
      <c r="J131" s="7" t="s">
        <v>152</v>
      </c>
      <c r="K131" s="7" t="s">
        <v>495</v>
      </c>
      <c r="L131" s="7" t="s">
        <v>496</v>
      </c>
      <c r="M131" s="10" t="s">
        <v>12</v>
      </c>
      <c r="N131" s="11" t="s">
        <v>290</v>
      </c>
      <c r="O131" s="11" t="s">
        <v>76</v>
      </c>
      <c r="P131" s="11" t="s">
        <v>99</v>
      </c>
      <c r="Q131" s="10"/>
      <c r="R131" s="10"/>
      <c r="S131" s="10"/>
      <c r="T131" s="10"/>
      <c r="U131" s="12"/>
    </row>
    <row r="132" spans="1:21" ht="54" customHeight="1" x14ac:dyDescent="0.3">
      <c r="A132" s="11" t="s">
        <v>497</v>
      </c>
      <c r="B132" s="11" t="s">
        <v>498</v>
      </c>
      <c r="C132" s="7" t="s">
        <v>44</v>
      </c>
      <c r="D132" s="8">
        <v>1.5518903732299805</v>
      </c>
      <c r="E132" s="7" t="s">
        <v>499</v>
      </c>
      <c r="F132" s="9">
        <v>84</v>
      </c>
      <c r="G132" s="7" t="s">
        <v>46</v>
      </c>
      <c r="H132" s="7" t="s">
        <v>47</v>
      </c>
      <c r="I132" s="7" t="s">
        <v>46</v>
      </c>
      <c r="J132" s="7" t="s">
        <v>57</v>
      </c>
      <c r="K132" s="7" t="s">
        <v>495</v>
      </c>
      <c r="L132" s="7" t="s">
        <v>496</v>
      </c>
      <c r="M132" s="10" t="s">
        <v>12</v>
      </c>
      <c r="N132" s="11" t="s">
        <v>51</v>
      </c>
      <c r="O132" s="11" t="s">
        <v>60</v>
      </c>
      <c r="P132" s="11" t="s">
        <v>53</v>
      </c>
      <c r="Q132" s="10"/>
      <c r="R132" s="10"/>
      <c r="S132" s="10"/>
      <c r="T132" s="10"/>
      <c r="U132" s="12"/>
    </row>
    <row r="133" spans="1:21" ht="54" customHeight="1" x14ac:dyDescent="0.3">
      <c r="A133" s="11" t="s">
        <v>500</v>
      </c>
      <c r="B133" s="11" t="s">
        <v>501</v>
      </c>
      <c r="C133" s="7" t="s">
        <v>502</v>
      </c>
      <c r="D133" s="8">
        <v>7.2049140930175781E-2</v>
      </c>
      <c r="E133" s="7" t="s">
        <v>503</v>
      </c>
      <c r="F133" s="9">
        <v>0</v>
      </c>
      <c r="G133" s="7" t="s">
        <v>47</v>
      </c>
      <c r="H133" s="7" t="s">
        <v>47</v>
      </c>
      <c r="I133" s="7" t="s">
        <v>47</v>
      </c>
      <c r="J133" s="7" t="s">
        <v>152</v>
      </c>
      <c r="K133" s="7" t="s">
        <v>460</v>
      </c>
      <c r="L133" s="7"/>
      <c r="M133" s="10" t="s">
        <v>12</v>
      </c>
      <c r="N133" s="11" t="s">
        <v>124</v>
      </c>
      <c r="O133" s="11" t="s">
        <v>60</v>
      </c>
      <c r="P133" s="11" t="s">
        <v>53</v>
      </c>
      <c r="Q133" s="10"/>
      <c r="R133" s="10"/>
      <c r="S133" s="10"/>
      <c r="T133" s="10"/>
      <c r="U133" s="12"/>
    </row>
    <row r="134" spans="1:21" ht="54" customHeight="1" x14ac:dyDescent="0.3">
      <c r="A134" s="11" t="s">
        <v>504</v>
      </c>
      <c r="B134" s="11" t="s">
        <v>505</v>
      </c>
      <c r="C134" s="7" t="s">
        <v>44</v>
      </c>
      <c r="D134" s="8">
        <v>13.187169075012207</v>
      </c>
      <c r="E134" s="7" t="s">
        <v>506</v>
      </c>
      <c r="F134" s="9">
        <v>135</v>
      </c>
      <c r="G134" s="7" t="s">
        <v>94</v>
      </c>
      <c r="H134" s="7" t="s">
        <v>95</v>
      </c>
      <c r="I134" s="7" t="s">
        <v>46</v>
      </c>
      <c r="J134" s="7" t="s">
        <v>48</v>
      </c>
      <c r="K134" s="7" t="s">
        <v>460</v>
      </c>
      <c r="L134" s="7" t="s">
        <v>461</v>
      </c>
      <c r="M134" s="10" t="s">
        <v>12</v>
      </c>
      <c r="N134" s="11" t="s">
        <v>354</v>
      </c>
      <c r="O134" s="11" t="s">
        <v>60</v>
      </c>
      <c r="P134" s="11" t="s">
        <v>355</v>
      </c>
      <c r="Q134" s="10"/>
      <c r="R134" s="10"/>
      <c r="S134" s="10"/>
      <c r="T134" s="10"/>
      <c r="U134" s="12"/>
    </row>
    <row r="135" spans="1:21" ht="54" customHeight="1" x14ac:dyDescent="0.3">
      <c r="A135" s="11" t="s">
        <v>507</v>
      </c>
      <c r="B135" s="11" t="s">
        <v>508</v>
      </c>
      <c r="C135" s="7" t="s">
        <v>44</v>
      </c>
      <c r="D135" s="8">
        <v>11.823068618774414</v>
      </c>
      <c r="E135" s="7" t="s">
        <v>472</v>
      </c>
      <c r="F135" s="9">
        <v>154</v>
      </c>
      <c r="G135" s="7" t="s">
        <v>94</v>
      </c>
      <c r="H135" s="7" t="s">
        <v>95</v>
      </c>
      <c r="I135" s="7" t="s">
        <v>46</v>
      </c>
      <c r="J135" s="7" t="s">
        <v>48</v>
      </c>
      <c r="K135" s="7" t="s">
        <v>460</v>
      </c>
      <c r="L135" s="7" t="s">
        <v>461</v>
      </c>
      <c r="M135" s="10" t="s">
        <v>12</v>
      </c>
      <c r="N135" s="11" t="s">
        <v>509</v>
      </c>
      <c r="O135" s="11" t="s">
        <v>76</v>
      </c>
      <c r="P135" s="11" t="s">
        <v>107</v>
      </c>
      <c r="Q135" s="10"/>
      <c r="R135" s="10"/>
      <c r="S135" s="10"/>
      <c r="T135" s="10"/>
      <c r="U135" s="12"/>
    </row>
    <row r="136" spans="1:21" ht="54" customHeight="1" x14ac:dyDescent="0.3">
      <c r="A136" s="11" t="s">
        <v>510</v>
      </c>
      <c r="B136" s="11" t="s">
        <v>511</v>
      </c>
      <c r="C136" s="7" t="s">
        <v>44</v>
      </c>
      <c r="D136" s="8">
        <v>3.3183565139770508</v>
      </c>
      <c r="E136" s="7" t="s">
        <v>512</v>
      </c>
      <c r="F136" s="9">
        <v>146</v>
      </c>
      <c r="G136" s="7" t="s">
        <v>94</v>
      </c>
      <c r="H136" s="7" t="s">
        <v>95</v>
      </c>
      <c r="I136" s="7" t="s">
        <v>46</v>
      </c>
      <c r="J136" s="7" t="s">
        <v>57</v>
      </c>
      <c r="K136" s="7" t="s">
        <v>441</v>
      </c>
      <c r="L136" s="7" t="s">
        <v>442</v>
      </c>
      <c r="M136" s="10" t="s">
        <v>12</v>
      </c>
      <c r="N136" s="11" t="s">
        <v>98</v>
      </c>
      <c r="O136" s="11" t="s">
        <v>76</v>
      </c>
      <c r="P136" s="11" t="s">
        <v>99</v>
      </c>
      <c r="Q136" s="10"/>
      <c r="R136" s="10"/>
      <c r="S136" s="10"/>
      <c r="T136" s="10"/>
      <c r="U136" s="12"/>
    </row>
    <row r="137" spans="1:21" ht="54" customHeight="1" x14ac:dyDescent="0.3">
      <c r="A137" s="11" t="s">
        <v>513</v>
      </c>
      <c r="B137" s="11" t="s">
        <v>514</v>
      </c>
      <c r="C137" s="7" t="s">
        <v>244</v>
      </c>
      <c r="D137" s="8">
        <v>5.4605131149291992</v>
      </c>
      <c r="E137" s="7" t="s">
        <v>515</v>
      </c>
      <c r="F137" s="9">
        <v>0</v>
      </c>
      <c r="G137" s="7" t="s">
        <v>47</v>
      </c>
      <c r="H137" s="7" t="s">
        <v>47</v>
      </c>
      <c r="I137" s="7" t="s">
        <v>47</v>
      </c>
      <c r="J137" s="7" t="s">
        <v>152</v>
      </c>
      <c r="K137" s="7"/>
      <c r="L137" s="7"/>
      <c r="M137" s="10" t="s">
        <v>12</v>
      </c>
      <c r="N137" s="11" t="s">
        <v>124</v>
      </c>
      <c r="O137" s="11" t="s">
        <v>60</v>
      </c>
      <c r="P137" s="11" t="s">
        <v>53</v>
      </c>
      <c r="Q137" s="10"/>
      <c r="R137" s="10"/>
      <c r="S137" s="10"/>
      <c r="T137" s="10"/>
      <c r="U137" s="12"/>
    </row>
    <row r="138" spans="1:21" ht="54" customHeight="1" x14ac:dyDescent="0.3">
      <c r="A138" s="11" t="s">
        <v>516</v>
      </c>
      <c r="B138" s="11" t="s">
        <v>517</v>
      </c>
      <c r="C138" s="7" t="s">
        <v>44</v>
      </c>
      <c r="D138" s="8">
        <v>0.29175949096679688</v>
      </c>
      <c r="E138" s="7" t="s">
        <v>518</v>
      </c>
      <c r="F138" s="9">
        <v>12</v>
      </c>
      <c r="G138" s="7" t="s">
        <v>46</v>
      </c>
      <c r="H138" s="7" t="s">
        <v>47</v>
      </c>
      <c r="I138" s="7" t="s">
        <v>46</v>
      </c>
      <c r="J138" s="7" t="s">
        <v>48</v>
      </c>
      <c r="K138" s="7"/>
      <c r="L138" s="7"/>
      <c r="M138" s="10" t="s">
        <v>12</v>
      </c>
      <c r="N138" s="11" t="s">
        <v>124</v>
      </c>
      <c r="O138" s="11" t="s">
        <v>60</v>
      </c>
      <c r="P138" s="11" t="s">
        <v>53</v>
      </c>
      <c r="Q138" s="10"/>
      <c r="R138" s="10"/>
      <c r="S138" s="10"/>
      <c r="T138" s="10"/>
      <c r="U138" s="12"/>
    </row>
  </sheetData>
  <conditionalFormatting sqref="M2:M138">
    <cfRule type="containsText" dxfId="4" priority="1" operator="containsText" text="Pendiente"/>
    <cfRule type="containsText" dxfId="3" priority="2" operator="containsText" text="Aprobado"/>
    <cfRule type="containsText" dxfId="2" priority="3" operator="containsText" text="Rechazado"/>
  </conditionalFormatting>
  <conditionalFormatting sqref="P2:P138">
    <cfRule type="containsText" dxfId="1" priority="4" operator="containsText" text="Conflicto"/>
  </conditionalFormatting>
  <conditionalFormatting sqref="H2:H138">
    <cfRule type="containsText" dxfId="0" priority="5" operator="containsText" text="Revisar"/>
  </conditionalFormatting>
  <dataValidations count="2">
    <dataValidation type="list" sqref="M2:M5000">
      <formula1>"Pendiente,Aprobado,Rechazado"</formula1>
    </dataValidation>
    <dataValidation type="list" sqref="S2:S5000">
      <formula1>"Operador,Técnico,Ambos,No habilitar"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Ramos</cp:lastModifiedBy>
  <dcterms:modified xsi:type="dcterms:W3CDTF">2026-05-28T01:49:02Z</dcterms:modified>
</cp:coreProperties>
</file>